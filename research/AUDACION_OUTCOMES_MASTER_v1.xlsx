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ster Outcomes" sheetId="2" state="visible" r:id="rId4"/>
    <sheet name="Domains" sheetId="3" state="visible" r:id="rId5"/>
    <sheet name="Key" sheetId="4" state="visible" r:id="rId6"/>
    <sheet name="Governance Moves" sheetId="5" state="visible" r:id="rId7"/>
    <sheet name="Meta-Findings" sheetId="6" state="visible" r:id="rId8"/>
    <sheet name="Threat Vector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<sst xmlns="http://schemas.openxmlformats.org/spreadsheetml/2006/main" count="1428" uniqueCount="708">
  <si>
    <t xml:space="preserve">Audacion AI Labs</t>
  </si>
  <si>
    <t xml:space="preserve">Research Outcomes Master  |  v1 DRAFT for Dee's review</t>
  </si>
  <si>
    <t xml:space="preserve">What this is: every distinct outcome of the research, extracted from all seven analytical reports, deduped, categorized, and tagged for public-vs-backend handling.</t>
  </si>
  <si>
    <t xml:space="preserve">Completeness (verification layer one): 124 distinct outcomes across 14 domains. Duplicates across reports were merged into one row; the Convergence column records how many independent reports named each one.</t>
  </si>
  <si>
    <t xml:space="preserve">How to read the sensitivity layer: the Handling posture column is the release map. Green = lead with it publicly. Amber = public but framed carefully. Red = keep on the backend and research first. The Sensitivity column records WHY (the letter codes are defined on the Key tab).</t>
  </si>
  <si>
    <t xml:space="preserve">Strategic read: the green and amber outcomes (most of EMERGE, the methodology, the field-building, the wellbeing-positive science) are what builds you allies and funding. The red ones (naming model failures, litigation fuel, lab-pipeline implications, geopolitical leverage) are what makes enemies. Lead with the first set, armor up, then release the second. That sequencing is itself the strategy.</t>
  </si>
  <si>
    <t xml:space="preserve">Not done yet (verification layer two, deferred): specific statistics and named studies inside these reports were generated by AI models and are NOT yet fact-checked. The OUTCOMES stand on their own logic. The NUMBERS get verified before any of them goes on a public page, a grant, or a court filing.</t>
  </si>
  <si>
    <t xml:space="preserve">Tabs: Master Outcomes (the catalog) | Domains (counts and definitions) | Key (all codes) | Governance Moves | Meta-Findings (cross-model verdicts) | Threat Vectors (the resistance map).</t>
  </si>
  <si>
    <t xml:space="preserve">ID</t>
  </si>
  <si>
    <t xml:space="preserve">Domain</t>
  </si>
  <si>
    <t xml:space="preserve">Outcome</t>
  </si>
  <si>
    <t xml:space="preserve">What it is</t>
  </si>
  <si>
    <t xml:space="preserve">Precedent / analog</t>
  </si>
  <si>
    <t xml:space="preserve">Driven by</t>
  </si>
  <si>
    <t xml:space="preserve">Scale tier</t>
  </si>
  <si>
    <t xml:space="preserve">Convergence</t>
  </si>
  <si>
    <t xml:space="preserve">Sensitivity</t>
  </si>
  <si>
    <t xml:space="preserve">Handling posture</t>
  </si>
  <si>
    <t xml:space="preserve">O-001</t>
  </si>
  <si>
    <t xml:space="preserve">1. Direct Research Artifacts</t>
  </si>
  <si>
    <t xml:space="preserve">Open peer-reviewed publications</t>
  </si>
  <si>
    <t xml:space="preserve">The taxonomy paper, substrate-override, post-correction retention, interaction-dynamics, and longitudinal-phenomena papers published openly.</t>
  </si>
  <si>
    <t xml:space="preserve">Framingham (~6,000 papers)</t>
  </si>
  <si>
    <t xml:space="preserve">Both</t>
  </si>
  <si>
    <t xml:space="preserve">Now</t>
  </si>
  <si>
    <t xml:space="preserve">Downstream</t>
  </si>
  <si>
    <t xml:space="preserve">R</t>
  </si>
  <si>
    <t xml:space="preserve">Public now</t>
  </si>
  <si>
    <t xml:space="preserve">O-002</t>
  </si>
  <si>
    <t xml:space="preserve">The living behavioral taxonomy</t>
  </si>
  <si>
    <t xml:space="preserve">PRISM plus EMERGE as the measurement architecture that makes all future discovery possible.</t>
  </si>
  <si>
    <t xml:space="preserve">Framingham 'risk factors'; ICD</t>
  </si>
  <si>
    <t xml:space="preserve">3-model</t>
  </si>
  <si>
    <t xml:space="preserve">O-003</t>
  </si>
  <si>
    <t xml:space="preserve">The dataset as a scientific substrate</t>
  </si>
  <si>
    <t xml:space="preserve">The corpus future researchers mine to answer questions that do not exist yet.</t>
  </si>
  <si>
    <t xml:space="preserve">Framingham cohort; HGP reference genome</t>
  </si>
  <si>
    <t xml:space="preserve">Dataset</t>
  </si>
  <si>
    <t xml:space="preserve">Scale</t>
  </si>
  <si>
    <t xml:space="preserve">G</t>
  </si>
  <si>
    <t xml:space="preserve">Public, framed carefully</t>
  </si>
  <si>
    <t xml:space="preserve">O-004</t>
  </si>
  <si>
    <t xml:space="preserve">Reusable citizen-science methodology</t>
  </si>
  <si>
    <t xml:space="preserve">The post-deployment observation method itself, replicable by other research programs.</t>
  </si>
  <si>
    <t xml:space="preserve">Framingham cohort methodology</t>
  </si>
  <si>
    <t xml:space="preserve">O-005</t>
  </si>
  <si>
    <t xml:space="preserve">Post-deployment behavioral benchmarks</t>
  </si>
  <si>
    <t xml:space="preserve">First benchmarks built from real-world use rather than lab conditions.</t>
  </si>
  <si>
    <t xml:space="preserve">NHTSA/IIHS protocols from real crashes</t>
  </si>
  <si>
    <t xml:space="preserve">PRISM</t>
  </si>
  <si>
    <t xml:space="preserve">Growth</t>
  </si>
  <si>
    <t xml:space="preserve">C, R</t>
  </si>
  <si>
    <t xml:space="preserve">O-006</t>
  </si>
  <si>
    <t xml:space="preserve">2. Commercial Products &amp; Revenue</t>
  </si>
  <si>
    <t xml:space="preserve">Data and API licensing</t>
  </si>
  <si>
    <t xml:space="preserve">Tiered access to the corpus: academic free, commercial API, premium for underwriting and litigation.</t>
  </si>
  <si>
    <t xml:space="preserve">FICO data licensing</t>
  </si>
  <si>
    <t xml:space="preserve">Now to Scale</t>
  </si>
  <si>
    <t xml:space="preserve">O-007</t>
  </si>
  <si>
    <t xml:space="preserve">Behavioral Risk Scores (per model and context)</t>
  </si>
  <si>
    <t xml:space="preserve">A FICO-style risk indicator for an AI system in a use context, licensed to procurement, insurers, investors.</t>
  </si>
  <si>
    <t xml:space="preserve">FICO; Framingham Risk Score</t>
  </si>
  <si>
    <t xml:space="preserve">L, C</t>
  </si>
  <si>
    <t xml:space="preserve">O-008</t>
  </si>
  <si>
    <t xml:space="preserve">Behavioral audit and certification ('Audacion Listed')</t>
  </si>
  <si>
    <t xml:space="preserve">Observed-behavior certification, recurring because it is conditional on continuous telemetry.</t>
  </si>
  <si>
    <t xml:space="preserve">Underwriters Laboratories</t>
  </si>
  <si>
    <t xml:space="preserve">O-009</t>
  </si>
  <si>
    <t xml:space="preserve">Expert-witness and litigation support</t>
  </si>
  <si>
    <t xml:space="preserve">Classify incidents and testify to foreseeability against population data.</t>
  </si>
  <si>
    <t xml:space="preserve">NHTSA reconstruction; CR testimony</t>
  </si>
  <si>
    <t xml:space="preserve">L</t>
  </si>
  <si>
    <t xml:space="preserve">O-010</t>
  </si>
  <si>
    <t xml:space="preserve">Premium PRISM/EMERGE reports</t>
  </si>
  <si>
    <t xml:space="preserve">Quarterly paid intelligence with full analysis and cross-model comparison.</t>
  </si>
  <si>
    <t xml:space="preserve">Gartner; Forrester</t>
  </si>
  <si>
    <t xml:space="preserve">O-011</t>
  </si>
  <si>
    <t xml:space="preserve">Regulatory intelligence subscriptions</t>
  </si>
  <si>
    <t xml:space="preserve">Curated behavioral-signal briefings for chief AI officers, compliance teams, and regulators.</t>
  </si>
  <si>
    <t xml:space="preserve">Gartner</t>
  </si>
  <si>
    <t xml:space="preserve">O-012</t>
  </si>
  <si>
    <t xml:space="preserve">Training data for alignment research</t>
  </si>
  <si>
    <t xml:space="preserve">The EMERGE positive corpus sold to labs as a prosocial training signal.</t>
  </si>
  <si>
    <t xml:space="preserve">(novel)</t>
  </si>
  <si>
    <t xml:space="preserve">EMERGE</t>
  </si>
  <si>
    <t xml:space="preserve">Frontier</t>
  </si>
  <si>
    <t xml:space="preserve">C</t>
  </si>
  <si>
    <t xml:space="preserve">O-013</t>
  </si>
  <si>
    <t xml:space="preserve">Ground-truth licensing / model-collapse hedge</t>
  </si>
  <si>
    <t xml:space="preserve">Verified human-witnessed behavioral record as uncontaminated training data; plausibly the largest single revenue line by year ten.</t>
  </si>
  <si>
    <t xml:space="preserve">3-model (Claude unique)</t>
  </si>
  <si>
    <t xml:space="preserve">O-014</t>
  </si>
  <si>
    <t xml:space="preserve">Behavioral telemetry SDK / data-as-a-service</t>
  </si>
  <si>
    <t xml:space="preserve">Vendors pay for normalized PRISM/EMERGE reports on their own model plus peer percentile rankings.</t>
  </si>
  <si>
    <t xml:space="preserve">Crunchbase-for-AI-behavior</t>
  </si>
  <si>
    <t xml:space="preserve">O-015</t>
  </si>
  <si>
    <t xml:space="preserve">Enterprise procurement intelligence</t>
  </si>
  <si>
    <t xml:space="preserve">Vendor-comparison dashboards in PRISM/EMERGE terms, grounded in observed behavior not analyst opinion.</t>
  </si>
  <si>
    <t xml:space="preserve">Gartner Magic Quadrant</t>
  </si>
  <si>
    <t xml:space="preserve">O-016</t>
  </si>
  <si>
    <t xml:space="preserve">Regulatory filing service</t>
  </si>
  <si>
    <t xml:space="preserve">The 'TurboTax' of AI post-market surveillance: EU AI Act Article 72 compliance reporting.</t>
  </si>
  <si>
    <t xml:space="preserve">TurboTax</t>
  </si>
  <si>
    <t xml:space="preserve">O-017</t>
  </si>
  <si>
    <t xml:space="preserve">Sentinel network subscriptions</t>
  </si>
  <si>
    <t xml:space="preserve">Instrumented enterprise deployments with known denominators, sold as the active-surveillance complement.</t>
  </si>
  <si>
    <t xml:space="preserve">VAERS plus Vaccine Safety Datalink</t>
  </si>
  <si>
    <t xml:space="preserve">O-018</t>
  </si>
  <si>
    <t xml:space="preserve">Pre-deployment behavioral prediction API</t>
  </si>
  <si>
    <t xml:space="preserve">Predict the PRISM drift profile from a base model, training recipe, and deployment domain.</t>
  </si>
  <si>
    <t xml:space="preserve">Pharmacogenomics</t>
  </si>
  <si>
    <t xml:space="preserve">Growth to Scale</t>
  </si>
  <si>
    <t xml:space="preserve">O-019</t>
  </si>
  <si>
    <t xml:space="preserve">Consumer-facing 1 to 5 star AI Safety Rating</t>
  </si>
  <si>
    <t xml:space="preserve">A public rating per model per domain, monetized through badge licensing and media.</t>
  </si>
  <si>
    <t xml:space="preserve">NCAP; Consumer Reports</t>
  </si>
  <si>
    <t xml:space="preserve">O-020</t>
  </si>
  <si>
    <t xml:space="preserve">Synthetic adversarial test suites</t>
  </si>
  <si>
    <t xml:space="preserve">Audacion-derived test sets sold to red-teamers and pre-deployment evaluators.</t>
  </si>
  <si>
    <t xml:space="preserve">Real crash data feeding IIHS protocols</t>
  </si>
  <si>
    <t xml:space="preserve">O-021</t>
  </si>
  <si>
    <t xml:space="preserve">Behavioral reinsurance data licensing</t>
  </si>
  <si>
    <t xml:space="preserve">Loss-cost data filed for reinsurers, comparable to ISO/Verisk filings.</t>
  </si>
  <si>
    <t xml:space="preserve">ISO/Verisk</t>
  </si>
  <si>
    <t xml:space="preserve">O-022</t>
  </si>
  <si>
    <t xml:space="preserve">AI Behavioral Compensation Fund administration</t>
  </si>
  <si>
    <t xml:space="preserve">Operating the evidentiary substrate for adjudicating no-fault AI harm claims.</t>
  </si>
  <si>
    <t xml:space="preserve">National Vaccine Injury Compensation Program</t>
  </si>
  <si>
    <t xml:space="preserve">L, P</t>
  </si>
  <si>
    <t xml:space="preserve">O-023</t>
  </si>
  <si>
    <t xml:space="preserve">EMERGE-licensed UX-pattern / design IP</t>
  </si>
  <si>
    <t xml:space="preserve">A library of empirically grounded positive-collaboration design patterns that product teams license.</t>
  </si>
  <si>
    <t xml:space="preserve">Nielsen Norman Group heuristics</t>
  </si>
  <si>
    <t xml:space="preserve">O-024</t>
  </si>
  <si>
    <t xml:space="preserve">Behavioral genome browser (open-data layer)</t>
  </si>
  <si>
    <t xml:space="preserve">A hosted open layer that spawns a developer-tools ecosystem Audacion governs.</t>
  </si>
  <si>
    <t xml:space="preserve">HGP; GenBank</t>
  </si>
  <si>
    <t xml:space="preserve">G, C</t>
  </si>
  <si>
    <t xml:space="preserve">O-025</t>
  </si>
  <si>
    <t xml:space="preserve">EMERGE workforce/education/clinical products</t>
  </si>
  <si>
    <t xml:space="preserve">Tools predicting which collaboration patterns yield productivity, learning, or therapeutic outcomes; flagged the most underestimated commercial vector.</t>
  </si>
  <si>
    <t xml:space="preserve">Christakis-Fowler social contagion</t>
  </si>
  <si>
    <t xml:space="preserve">V</t>
  </si>
  <si>
    <t xml:space="preserve">O-026</t>
  </si>
  <si>
    <t xml:space="preserve">Live drift alerting subscription</t>
  </si>
  <si>
    <t xml:space="preserve">Notify companies when a deployed model shows early drift indicators, preventing public failures.</t>
  </si>
  <si>
    <t xml:space="preserve">Monitoring/observability market</t>
  </si>
  <si>
    <t xml:space="preserve">Downstream (Gemini)</t>
  </si>
  <si>
    <t xml:space="preserve">O-027</t>
  </si>
  <si>
    <t xml:space="preserve">Symbiosis optimization software</t>
  </si>
  <si>
    <t xml:space="preserve">EMERGE-based tools that calibrate systems for maximum resonance and productivity.</t>
  </si>
  <si>
    <t xml:space="preserve">O-028</t>
  </si>
  <si>
    <t xml:space="preserve">Synthetic actuarial / simulation environments</t>
  </si>
  <si>
    <t xml:space="preserve">Train a meta-model that simulates human interaction so developers can test new models pre-release.</t>
  </si>
  <si>
    <t xml:space="preserve">D</t>
  </si>
  <si>
    <t xml:space="preserve">O-029</t>
  </si>
  <si>
    <t xml:space="preserve">Ratings-agency position / cognitive credit score</t>
  </si>
  <si>
    <t xml:space="preserve">A live trust score per model that dictates API pricing, premiums, and procurement; Moody's or S&amp;P for AI.</t>
  </si>
  <si>
    <t xml:space="preserve">Moody's/S&amp;P; FICO</t>
  </si>
  <si>
    <t xml:space="preserve">3-model (Gemini unique)</t>
  </si>
  <si>
    <t xml:space="preserve">D, C</t>
  </si>
  <si>
    <t xml:space="preserve">O-030</t>
  </si>
  <si>
    <t xml:space="preserve">3. Standards &amp; Schema</t>
  </si>
  <si>
    <t xml:space="preserve">PRISM adopted into ISO/NIST/EU AI Act</t>
  </si>
  <si>
    <t xml:space="preserve">PRISM becomes the de facto taxonomy regulators reference and adopt.</t>
  </si>
  <si>
    <t xml:space="preserve">UL standards into building codes</t>
  </si>
  <si>
    <t xml:space="preserve">3-model (schema lock-in)</t>
  </si>
  <si>
    <t xml:space="preserve">O-031</t>
  </si>
  <si>
    <t xml:space="preserve">EMERGE as the beneficial-AI standard</t>
  </si>
  <si>
    <t xml:space="preserve">EMERGE becomes the basis for collaboration-quality standards; the first credible one wins the schema war.</t>
  </si>
  <si>
    <t xml:space="preserve">O-032</t>
  </si>
  <si>
    <t xml:space="preserve">Reporting schema as interoperability standard</t>
  </si>
  <si>
    <t xml:space="preserve">The embeddable button's data model becomes the transport-layer standard for AI incident sharing.</t>
  </si>
  <si>
    <t xml:space="preserve">ICD-10</t>
  </si>
  <si>
    <t xml:space="preserve">Downstream (GPT)</t>
  </si>
  <si>
    <t xml:space="preserve">O-033</t>
  </si>
  <si>
    <t xml:space="preserve">Behavioral SBOM</t>
  </si>
  <si>
    <t xml:space="preserve">Vendors disclose model lineage plus known PRISM drift signatures, riding the EO 14028/CISA SBOM wave.</t>
  </si>
  <si>
    <t xml:space="preserve">SPDX/CycloneDX SBOM</t>
  </si>
  <si>
    <t xml:space="preserve">Downstream (GPT unique)</t>
  </si>
  <si>
    <t xml:space="preserve">O-034</t>
  </si>
  <si>
    <t xml:space="preserve">Schema lock-in itself</t>
  </si>
  <si>
    <t xml:space="preserve">Owning the conceptual vocabulary is more durable than owning the data; the schema layer is where rents accumulate.</t>
  </si>
  <si>
    <t xml:space="preserve">Framingham 'risk factor'; ICD</t>
  </si>
  <si>
    <t xml:space="preserve">O-035</t>
  </si>
  <si>
    <t xml:space="preserve">4. Legal &amp; Evidentiary</t>
  </si>
  <si>
    <t xml:space="preserve">Daubert / FRE 702 admissibility</t>
  </si>
  <si>
    <t xml:space="preserve">Audacion methods and reports admitted routinely as expert evidence.</t>
  </si>
  <si>
    <t xml:space="preserve">NHTSA; Consumer Reports</t>
  </si>
  <si>
    <t xml:space="preserve">O-036</t>
  </si>
  <si>
    <t xml:space="preserve">Class-action enablement</t>
  </si>
  <si>
    <t xml:space="preserve">PRISM-coded incident clusters become Rule 23 commonality and predominance proof.</t>
  </si>
  <si>
    <t xml:space="preserve">NHTSA/CR litigation</t>
  </si>
  <si>
    <t xml:space="preserve">O-037</t>
  </si>
  <si>
    <t xml:space="preserve">Product-liability doctrine shift</t>
  </si>
  <si>
    <t xml:space="preserve">Movement toward strict liability, with 'defect' defined as statistical drift over a threshold.</t>
  </si>
  <si>
    <t xml:space="preserve">NHTSA product liability</t>
  </si>
  <si>
    <t xml:space="preserve">Backend / research first</t>
  </si>
  <si>
    <t xml:space="preserve">O-038</t>
  </si>
  <si>
    <t xml:space="preserve">Standard-of-care / foreseeability floor</t>
  </si>
  <si>
    <t xml:space="preserve">Defines what AI developers are legally expected to know about post-deployment behavior.</t>
  </si>
  <si>
    <t xml:space="preserve">NHTSA 'should have known'</t>
  </si>
  <si>
    <t xml:space="preserve">O-039</t>
  </si>
  <si>
    <t xml:space="preserve">Discovery evidence reference frame</t>
  </si>
  <si>
    <t xml:space="preserve">The corpus becomes the reference in AI civil and criminal proceedings.</t>
  </si>
  <si>
    <t xml:space="preserve">VAERS in litigation</t>
  </si>
  <si>
    <t xml:space="preserve">L, G</t>
  </si>
  <si>
    <t xml:space="preserve">O-040</t>
  </si>
  <si>
    <t xml:space="preserve">New tort categories</t>
  </si>
  <si>
    <t xml:space="preserve">PRISM categories become recognized tort categories as case law accumulates.</t>
  </si>
  <si>
    <t xml:space="preserve">O-041</t>
  </si>
  <si>
    <t xml:space="preserve">Judicial decision support</t>
  </si>
  <si>
    <t xml:space="preserve">Courts distinguish a systematic behavioral pattern from an isolated anomaly.</t>
  </si>
  <si>
    <t xml:space="preserve">O-042</t>
  </si>
  <si>
    <t xml:space="preserve">Civil-rights enforcement evidence</t>
  </si>
  <si>
    <t xml:space="preserve">Systematic discriminatory behavioral patterns become actionable as disparate-impact documentation.</t>
  </si>
  <si>
    <t xml:space="preserve">Employment-law disparate impact</t>
  </si>
  <si>
    <t xml:space="preserve">L, V</t>
  </si>
  <si>
    <t xml:space="preserve">O-043</t>
  </si>
  <si>
    <t xml:space="preserve">Discrimination class-action litigation</t>
  </si>
  <si>
    <t xml:space="preserve">Population-level patterns invisible in individual reports enable class claims.</t>
  </si>
  <si>
    <t xml:space="preserve">Civil-rights litigation</t>
  </si>
  <si>
    <t xml:space="preserve">O-044</t>
  </si>
  <si>
    <t xml:space="preserve">Rulemaking from observed discrimination</t>
  </si>
  <si>
    <t xml:space="preserve">Regulation grounded in observed outcomes rather than code audits.</t>
  </si>
  <si>
    <t xml:space="preserve">O-045</t>
  </si>
  <si>
    <t xml:space="preserve">5. Regulatory &amp; Policy</t>
  </si>
  <si>
    <t xml:space="preserve">EU AI Act Article 72 monitoring infrastructure</t>
  </si>
  <si>
    <t xml:space="preserve">Audacion becomes the path-of-least-resistance post-market compliance vendor.</t>
  </si>
  <si>
    <t xml:space="preserve">VAERS regulatory recognition</t>
  </si>
  <si>
    <t xml:space="preserve">O-046</t>
  </si>
  <si>
    <t xml:space="preserve">FTC Section 5 enforcement evidence</t>
  </si>
  <si>
    <t xml:space="preserve">An evidence base for unfairness and deceptiveness cases against AI products.</t>
  </si>
  <si>
    <t xml:space="preserve">CPSC / SaferProducts.gov</t>
  </si>
  <si>
    <t xml:space="preserve">O-047</t>
  </si>
  <si>
    <t xml:space="preserve">State-regime harmonization</t>
  </si>
  <si>
    <t xml:space="preserve">A shared substrate prevents fifty incompatible state AI taxonomies.</t>
  </si>
  <si>
    <t xml:space="preserve">P</t>
  </si>
  <si>
    <t xml:space="preserve">O-048</t>
  </si>
  <si>
    <t xml:space="preserve">Federal procurement requirements</t>
  </si>
  <si>
    <t xml:space="preserve">GSA, DoD, and HHS adopt an Audacion-Listed-equivalent for AI in regulated contexts.</t>
  </si>
  <si>
    <t xml:space="preserve">UL-Listing as procurement precondition</t>
  </si>
  <si>
    <t xml:space="preserve">C, P</t>
  </si>
  <si>
    <t xml:space="preserve">O-049</t>
  </si>
  <si>
    <t xml:space="preserve">State procurement market</t>
  </si>
  <si>
    <t xml:space="preserve">State vendor-certification standards create demand for behavioral certification evidence.</t>
  </si>
  <si>
    <t xml:space="preserve">O-050</t>
  </si>
  <si>
    <t xml:space="preserve">Regulatory trigger mechanisms</t>
  </si>
  <si>
    <t xml:space="preserve">Threshold alerts initiate formal investigations or mandated recalls.</t>
  </si>
  <si>
    <t xml:space="preserve">NHTSA recall trigger</t>
  </si>
  <si>
    <t xml:space="preserve">L, C, P</t>
  </si>
  <si>
    <t xml:space="preserve">O-051</t>
  </si>
  <si>
    <t xml:space="preserve">Evidence-based policy generally</t>
  </si>
  <si>
    <t xml:space="preserve">Regulators write rules on behavioral evidence rather than assumptions.</t>
  </si>
  <si>
    <t xml:space="preserve">VAERS/NHTSA feeding regulation</t>
  </si>
  <si>
    <t xml:space="preserve">O-052</t>
  </si>
  <si>
    <t xml:space="preserve">Behavioral recall mechanism</t>
  </si>
  <si>
    <t xml:space="preserve">Mandated suspension of a model or substrate version when drift thresholds are breached.</t>
  </si>
  <si>
    <t xml:space="preserve">NHTSA recall system</t>
  </si>
  <si>
    <t xml:space="preserve">O-053</t>
  </si>
  <si>
    <t xml:space="preserve">6. Insurance &amp; Actuarial</t>
  </si>
  <si>
    <t xml:space="preserve">AI liability insurance market enablement</t>
  </si>
  <si>
    <t xml:space="preserve">The structural precondition for the market to exist at all.</t>
  </si>
  <si>
    <t xml:space="preserve">Cyber insurance from breach data</t>
  </si>
  <si>
    <t xml:space="preserve">3-model (highest-confidence)</t>
  </si>
  <si>
    <t xml:space="preserve">O-054</t>
  </si>
  <si>
    <t xml:space="preserve">Behavioral loss-cost data for carriers</t>
  </si>
  <si>
    <t xml:space="preserve">Loss-cost data licensed to carriers and reinsurers who are starving for it.</t>
  </si>
  <si>
    <t xml:space="preserve">O-055</t>
  </si>
  <si>
    <t xml:space="preserve">Insurer-mandated controls flywheel</t>
  </si>
  <si>
    <t xml:space="preserve">Insurers require Audacion telemetry as a policy precondition, the cyber-MFA analog.</t>
  </si>
  <si>
    <t xml:space="preserve">Cyber insurance MFA mandate</t>
  </si>
  <si>
    <t xml:space="preserve">C, D</t>
  </si>
  <si>
    <t xml:space="preserve">O-056</t>
  </si>
  <si>
    <t xml:space="preserve">Alignment Drift Insurance (new class)</t>
  </si>
  <si>
    <t xml:space="preserve">Covers behavioral-remediation cost when a deployed model crosses a contractual drift threshold.</t>
  </si>
  <si>
    <t xml:space="preserve">Cyber insurance (new class)</t>
  </si>
  <si>
    <t xml:space="preserve">O-057</t>
  </si>
  <si>
    <t xml:space="preserve">Reinsurance capacity for systemic events</t>
  </si>
  <si>
    <t xml:space="preserve">Aggregation modeling for a 'model-wide hallucination' catastrophe event becomes possible.</t>
  </si>
  <si>
    <t xml:space="preserve">Catastrophe bonds; cyber reinsurance</t>
  </si>
  <si>
    <t xml:space="preserve">O-058</t>
  </si>
  <si>
    <t xml:space="preserve">7. Frontier Model &amp; Technical</t>
  </si>
  <si>
    <t xml:space="preserve">Pretraining alignment corpus</t>
  </si>
  <si>
    <t xml:space="preserve">EMERGE supplies the 'aligned behavior discourse' missing from training; the misalignment 45 to 9 percent finding.</t>
  </si>
  <si>
    <t xml:space="preserve">Geodesic/Cambridge study</t>
  </si>
  <si>
    <t xml:space="preserve">O-059</t>
  </si>
  <si>
    <t xml:space="preserve">RLHI training signal</t>
  </si>
  <si>
    <t xml:space="preserve">Real-world in-the-wild data as a superior signal to RLHF, with diversity, authenticity, longitudinality.</t>
  </si>
  <si>
    <t xml:space="preserve">RLHI research</t>
  </si>
  <si>
    <t xml:space="preserve">O-060</t>
  </si>
  <si>
    <t xml:space="preserve">Benchmark replacement</t>
  </si>
  <si>
    <t xml:space="preserve">PRISM as the only benchmark grounded in real deployment failure, not triggering-cue artifacts.</t>
  </si>
  <si>
    <t xml:space="preserve">Real crash data vs lab test</t>
  </si>
  <si>
    <t xml:space="preserve">O-061</t>
  </si>
  <si>
    <t xml:space="preserve">Behavioral pharmacogenomics</t>
  </si>
  <si>
    <t xml:space="preserve">Predict deployment behavior from a training-recipe fingerprint; collapses the safety-eval cost curve for every lab.</t>
  </si>
  <si>
    <t xml:space="preserve">Frontier (worth more than the rest combined)</t>
  </si>
  <si>
    <t xml:space="preserve">O-062</t>
  </si>
  <si>
    <t xml:space="preserve">Drift-over-updates analysis</t>
  </si>
  <si>
    <t xml:space="preserve">How model updates change downstream deployment behavior, closing a loop current eval cannot.</t>
  </si>
  <si>
    <t xml:space="preserve">Pharmacovigilance feeding drug development</t>
  </si>
  <si>
    <t xml:space="preserve">O-063</t>
  </si>
  <si>
    <t xml:space="preserve">8. Early Warning &amp; Epidemiology</t>
  </si>
  <si>
    <t xml:space="preserve">Behavioral Drift Observatory</t>
  </si>
  <si>
    <t xml:space="preserve">Detect a drift signal in a specific system before it becomes a failure event.</t>
  </si>
  <si>
    <t xml:space="preserve">NHTSA early-warning</t>
  </si>
  <si>
    <t xml:space="preserve">O-064</t>
  </si>
  <si>
    <t xml:space="preserve">AI behavioral epidemiology</t>
  </si>
  <si>
    <t xml:space="preserve">Identify incident risk factors, protective factors, and high-risk contexts before failures occur.</t>
  </si>
  <si>
    <t xml:space="preserve">Framingham epidemiology</t>
  </si>
  <si>
    <t xml:space="preserve">Downstream + Societal</t>
  </si>
  <si>
    <t xml:space="preserve">O-065</t>
  </si>
  <si>
    <t xml:space="preserve">Population risk and protective factors</t>
  </si>
  <si>
    <t xml:space="preserve">The pivot from pathology to resilience, where the most valuable discoveries tend to emerge.</t>
  </si>
  <si>
    <t xml:space="preserve">Framingham protective factors</t>
  </si>
  <si>
    <t xml:space="preserve">O-066</t>
  </si>
  <si>
    <t xml:space="preserve">9. Human Wellbeing</t>
  </si>
  <si>
    <t xml:space="preserve">Mental-health trajectory map</t>
  </si>
  <si>
    <t xml:space="preserve">Population-level map of which AI interaction patterns track with mental-health trajectories.</t>
  </si>
  <si>
    <t xml:space="preserve">Framingham and smoking</t>
  </si>
  <si>
    <t xml:space="preserve">Societal</t>
  </si>
  <si>
    <t xml:space="preserve">V, R</t>
  </si>
  <si>
    <t xml:space="preserve">O-067</t>
  </si>
  <si>
    <t xml:space="preserve">Mental-health-as-design-criterion guidelines</t>
  </si>
  <si>
    <t xml:space="preserve">First evidence-based guidelines for which AI patterns are psychologically protective vs harmful.</t>
  </si>
  <si>
    <t xml:space="preserve">O-068</t>
  </si>
  <si>
    <t xml:space="preserve">Early warning for population mental-health decline</t>
  </si>
  <si>
    <t xml:space="preserve">Detect AI-driven population mental-health deterioration before clinical systems register it.</t>
  </si>
  <si>
    <t xml:space="preserve">(novel public health)</t>
  </si>
  <si>
    <t xml:space="preserve">O-069</t>
  </si>
  <si>
    <t xml:space="preserve">First longitudinal study of AI-induced loneliness</t>
  </si>
  <si>
    <t xml:space="preserve">A longitudinal record of AI interaction and isolation, the Framingham-of-loneliness.</t>
  </si>
  <si>
    <t xml:space="preserve">Framingham social contagion</t>
  </si>
  <si>
    <t xml:space="preserve">O-070</t>
  </si>
  <si>
    <t xml:space="preserve">Training data for connection-strengthening AI</t>
  </si>
  <si>
    <t xml:space="preserve">Data to train AI that strengthens human social connection rather than substitutes for it.</t>
  </si>
  <si>
    <t xml:space="preserve">O-071</t>
  </si>
  <si>
    <t xml:space="preserve">Suicide and crisis-response failure detection</t>
  </si>
  <si>
    <t xml:space="preserve">Population-level signal of crisis-response failure (0 of 29 chatbots adequate) and harm-escalation vs de-escalation patterns.</t>
  </si>
  <si>
    <t xml:space="preserve">VAERS</t>
  </si>
  <si>
    <t xml:space="preserve">Frontier + Societal</t>
  </si>
  <si>
    <t xml:space="preserve">V, L, R</t>
  </si>
  <si>
    <t xml:space="preserve">O-072</t>
  </si>
  <si>
    <t xml:space="preserve">Depression and anxiety population signal</t>
  </si>
  <si>
    <t xml:space="preserve">Real-life, demographically broad, longitudinal mental-health behavioral data clinical systems miss.</t>
  </si>
  <si>
    <t xml:space="preserve">Clinical datasets</t>
  </si>
  <si>
    <t xml:space="preserve">O-073</t>
  </si>
  <si>
    <t xml:space="preserve">Personalized mental-health data infrastructure</t>
  </si>
  <si>
    <t xml:space="preserve">The behavioral substrate personalized mental-health care currently lacks.</t>
  </si>
  <si>
    <t xml:space="preserve">O-074</t>
  </si>
  <si>
    <t xml:space="preserve">Child and adolescent AI-development guidelines</t>
  </si>
  <si>
    <t xml:space="preserve">Behavioral signatures of beneficial vs harmful AI engagement across developmental stages.</t>
  </si>
  <si>
    <t xml:space="preserve">Developmental cohort studies</t>
  </si>
  <si>
    <t xml:space="preserve">O-075</t>
  </si>
  <si>
    <t xml:space="preserve">Early ID of cognitive-suppression patterns in children</t>
  </si>
  <si>
    <t xml:space="preserve">Detect AI patterns that suppress critical thinking and independent problem-solving in kids.</t>
  </si>
  <si>
    <t xml:space="preserve">Developmental risk-factor detection</t>
  </si>
  <si>
    <t xml:space="preserve">O-076</t>
  </si>
  <si>
    <t xml:space="preserve">Design spec for child-development AI</t>
  </si>
  <si>
    <t xml:space="preserve">A specification for AI that serves childhood cognitive development over engagement.</t>
  </si>
  <si>
    <t xml:space="preserve">O-077</t>
  </si>
  <si>
    <t xml:space="preserve">EMERGE-validated collaboration competencies</t>
  </si>
  <si>
    <t xml:space="preserve">Collaboration skills that become assessable from observed positive patterns.</t>
  </si>
  <si>
    <t xml:space="preserve">O-078</t>
  </si>
  <si>
    <t xml:space="preserve">'AI collaboration fluency' credential</t>
  </si>
  <si>
    <t xml:space="preserve">A new professional credential, with licensing bodies as first buyers.</t>
  </si>
  <si>
    <t xml:space="preserve">Professional credentialing</t>
  </si>
  <si>
    <t xml:space="preserve">O-079</t>
  </si>
  <si>
    <t xml:space="preserve">10. Workforce &amp; Economy</t>
  </si>
  <si>
    <t xml:space="preserve">Evidence of what good AI-augmented work looks like</t>
  </si>
  <si>
    <t xml:space="preserve">First empirical, behavioral picture of healthy AI-augmented work.</t>
  </si>
  <si>
    <t xml:space="preserve">O-080</t>
  </si>
  <si>
    <t xml:space="preserve">Reskilling targeted at real skill gaps</t>
  </si>
  <si>
    <t xml:space="preserve">Retraining aimed at gaps revealed by behavioral data, not predicted from job categories.</t>
  </si>
  <si>
    <t xml:space="preserve">O-081</t>
  </si>
  <si>
    <t xml:space="preserve">Workplace AI-harm early warning</t>
  </si>
  <si>
    <t xml:space="preserve">Identify contexts, practices, and behaviors producing worker deterioration before turnover or claims.</t>
  </si>
  <si>
    <t xml:space="preserve">Occupational health surveillance</t>
  </si>
  <si>
    <t xml:space="preserve">V, L</t>
  </si>
  <si>
    <t xml:space="preserve">O-082</t>
  </si>
  <si>
    <t xml:space="preserve">'Right to AI-augmented work' legal basis</t>
  </si>
  <si>
    <t xml:space="preserve">An evidentiary basis for employment law preserving human capability and dignity.</t>
  </si>
  <si>
    <t xml:space="preserve">Employment law</t>
  </si>
  <si>
    <t xml:space="preserve">O-083</t>
  </si>
  <si>
    <t xml:space="preserve">Post-labor purpose science</t>
  </si>
  <si>
    <t xml:space="preserve">Behavioral science of what generates human purpose when traditional work is disrupted.</t>
  </si>
  <si>
    <t xml:space="preserve">O-084</t>
  </si>
  <si>
    <t xml:space="preserve">BLS-equivalent productivity measurement</t>
  </si>
  <si>
    <t xml:space="preserve">National indicators of AI-augmented productivity by occupation, a national-accounts input.</t>
  </si>
  <si>
    <t xml:space="preserve">ATUS/CPS feeding BEA</t>
  </si>
  <si>
    <t xml:space="preserve">O-085</t>
  </si>
  <si>
    <t xml:space="preserve">Sociology of AI inequality</t>
  </si>
  <si>
    <t xml:space="preserve">Who uses AI for what, with what outcomes, across race, class, gender, age, geography, education.</t>
  </si>
  <si>
    <t xml:space="preserve">Sociology of stratification</t>
  </si>
  <si>
    <t xml:space="preserve">V, P</t>
  </si>
  <si>
    <t xml:space="preserve">O-086</t>
  </si>
  <si>
    <t xml:space="preserve">Evidence-based digital-equity policy</t>
  </si>
  <si>
    <t xml:space="preserve">Policy on AI access grounded in behavioral outcomes rather than access metrics.</t>
  </si>
  <si>
    <t xml:space="preserve">O-087</t>
  </si>
  <si>
    <t xml:space="preserve">Identification of highest-harm-density populations</t>
  </si>
  <si>
    <t xml:space="preserve">Find the populations carrying the most AI behavioral harm, for targeted protection.</t>
  </si>
  <si>
    <t xml:space="preserve">Epidemiology</t>
  </si>
  <si>
    <t xml:space="preserve">O-088</t>
  </si>
  <si>
    <t xml:space="preserve">Record of AI reshaping class and labor</t>
  </si>
  <si>
    <t xml:space="preserve">The dataset economic historians use to understand the transition.</t>
  </si>
  <si>
    <t xml:space="preserve">O-089</t>
  </si>
  <si>
    <t xml:space="preserve">11. Science, Medicine &amp; Planet</t>
  </si>
  <si>
    <t xml:space="preserve">Unanticipated medical discovery</t>
  </si>
  <si>
    <t xml:space="preserve">Behavioral data yielding discoveries in unrelated medical fields, the Framingham pattern.</t>
  </si>
  <si>
    <t xml:space="preserve">Framingham</t>
  </si>
  <si>
    <t xml:space="preserve">O-090</t>
  </si>
  <si>
    <t xml:space="preserve">Broad pharmacovigilance</t>
  </si>
  <si>
    <t xml:space="preserve">One of the largest unstructured pharmacovigilance datasets via AI-mediated self-reporting.</t>
  </si>
  <si>
    <t xml:space="preserve">O-091</t>
  </si>
  <si>
    <t xml:space="preserve">Rare-disease identification</t>
  </si>
  <si>
    <t xml:space="preserve">Behavioral signatures flagging undiagnosed rare conditions.</t>
  </si>
  <si>
    <t xml:space="preserve">TxGNN</t>
  </si>
  <si>
    <t xml:space="preserve">O-092</t>
  </si>
  <si>
    <t xml:space="preserve">Mental-health stigma reduction</t>
  </si>
  <si>
    <t xml:space="preserve">More honest disclosure to AI than to clinicians, surfacing data clinical systems miss.</t>
  </si>
  <si>
    <t xml:space="preserve">O-093</t>
  </si>
  <si>
    <t xml:space="preserve">Drug-repurposing signal</t>
  </si>
  <si>
    <t xml:space="preserve">Population-level drug-disease interaction signals.</t>
  </si>
  <si>
    <t xml:space="preserve">ARPA-H MATRIX; TxGNN</t>
  </si>
  <si>
    <t xml:space="preserve">O-094</t>
  </si>
  <si>
    <t xml:space="preserve">Disease-onset early detection</t>
  </si>
  <si>
    <t xml:space="preserve">A 'digital psychological signature' detecting disease onset from behavioral change.</t>
  </si>
  <si>
    <t xml:space="preserve">O-095</t>
  </si>
  <si>
    <t xml:space="preserve">Input for AI 'alien inferences'</t>
  </si>
  <si>
    <t xml:space="preserve">Behavioral data feeding scientifically plausible discoveries humans would not consider for decades.</t>
  </si>
  <si>
    <t xml:space="preserve">UChicago research</t>
  </si>
  <si>
    <t xml:space="preserve">O-096</t>
  </si>
  <si>
    <t xml:space="preserve">QA system for scientific AI deployment</t>
  </si>
  <si>
    <t xml:space="preserve">Identify which human-AI scientific collaboration patterns produce discovery vs confident error.</t>
  </si>
  <si>
    <t xml:space="preserve">O-097</t>
  </si>
  <si>
    <t xml:space="preserve">Climate-model reliability monitoring</t>
  </si>
  <si>
    <t xml:space="preserve">Detect drift in climate-monitoring AI before it biases tipping-point predictions; IPCC uses AI-assisted models.</t>
  </si>
  <si>
    <t xml:space="preserve">O-098</t>
  </si>
  <si>
    <t xml:space="preserve">Food-safety AI drift monitoring</t>
  </si>
  <si>
    <t xml:space="preserve">Fill the gap where most food-safety AI has no drift detection and failure means hunger.</t>
  </si>
  <si>
    <t xml:space="preserve">O-099</t>
  </si>
  <si>
    <t xml:space="preserve">Food-system stress signal</t>
  </si>
  <si>
    <t xml:space="preserve">AI-interaction patterns correlating with food insecurity and supply-chain stress.</t>
  </si>
  <si>
    <t xml:space="preserve">O-100</t>
  </si>
  <si>
    <t xml:space="preserve">Science of human-AI collective intelligence</t>
  </si>
  <si>
    <t xml:space="preserve">A new scientific field for which EMERGE is the data infrastructure.</t>
  </si>
  <si>
    <t xml:space="preserve">Framingham to preventive cardiology</t>
  </si>
  <si>
    <t xml:space="preserve">Societal + Downstream</t>
  </si>
  <si>
    <t xml:space="preserve">O-101</t>
  </si>
  <si>
    <t xml:space="preserve">Discovery engine / findings with no name yet</t>
  </si>
  <si>
    <t xml:space="preserve">Guaranteed unanticipated discoveries at scale, the highest-value outcomes by definition.</t>
  </si>
  <si>
    <t xml:space="preserve">Framingham surprises</t>
  </si>
  <si>
    <t xml:space="preserve">O-102</t>
  </si>
  <si>
    <t xml:space="preserve">Structured discovery of beneficial emergence</t>
  </si>
  <si>
    <t xml:space="preserve">EMERGE surfaces collaboration patterns no individual could isolate; flagged as the most likely breakthrough finding in the ten-year window.</t>
  </si>
  <si>
    <t xml:space="preserve">3-model (EMERGE &gt; PRISM thesis)</t>
  </si>
  <si>
    <t xml:space="preserve">O-103</t>
  </si>
  <si>
    <t xml:space="preserve">12. Civic, Global &amp; Geopolitical</t>
  </si>
  <si>
    <t xml:space="preserve">Map of AI influence on public opinion</t>
  </si>
  <si>
    <t xml:space="preserve">Observed behavioral patterns of how AI shapes opinion formation, not model analysis.</t>
  </si>
  <si>
    <t xml:space="preserve">O-104</t>
  </si>
  <si>
    <t xml:space="preserve">Evidence on AI and polarization</t>
  </si>
  <si>
    <t xml:space="preserve">Whether and under what conditions AI amplifies political polarization.</t>
  </si>
  <si>
    <t xml:space="preserve">O-105</t>
  </si>
  <si>
    <t xml:space="preserve">Civic AI design standard</t>
  </si>
  <si>
    <t xml:space="preserve">An evidence-based standard for what civic AI does to participation, trust, and agency.</t>
  </si>
  <si>
    <t xml:space="preserve">O-106</t>
  </si>
  <si>
    <t xml:space="preserve">Deliberative-democracy AI design spec</t>
  </si>
  <si>
    <t xml:space="preserve">A specification for AI that supports democratic deliberation.</t>
  </si>
  <si>
    <t xml:space="preserve">Human/AI collective-intelligence research</t>
  </si>
  <si>
    <t xml:space="preserve">O-107</t>
  </si>
  <si>
    <t xml:space="preserve">Non-Western behavioral dataset</t>
  </si>
  <si>
    <t xml:space="preserve">Representation of non-English and non-high-income deployment contexts at scale.</t>
  </si>
  <si>
    <t xml:space="preserve">O-108</t>
  </si>
  <si>
    <t xml:space="preserve">Evidence of culturally specific harms</t>
  </si>
  <si>
    <t xml:space="preserve">Documentation of Western-trained AI behaving differently in other cultural contexts.</t>
  </si>
  <si>
    <t xml:space="preserve">P, V</t>
  </si>
  <si>
    <t xml:space="preserve">O-109</t>
  </si>
  <si>
    <t xml:space="preserve">Foundation for globally legitimate standards</t>
  </si>
  <si>
    <t xml:space="preserve">A basis for AI safety standards that are global rather than US/EU-exported.</t>
  </si>
  <si>
    <t xml:space="preserve">O-110</t>
  </si>
  <si>
    <t xml:space="preserve">Treaty verification infrastructure</t>
  </si>
  <si>
    <t xml:space="preserve">Independent verification for a binding international AI agreement.</t>
  </si>
  <si>
    <t xml:space="preserve">Nuclear arms control; IAEA</t>
  </si>
  <si>
    <t xml:space="preserve">P, D</t>
  </si>
  <si>
    <t xml:space="preserve">O-111</t>
  </si>
  <si>
    <t xml:space="preserve">IAEA-safeguards analog / diplomatic asset</t>
  </si>
  <si>
    <t xml:space="preserve">An empirical substrate for bilateral and multilateral AI agreements.</t>
  </si>
  <si>
    <t xml:space="preserve">IAEA</t>
  </si>
  <si>
    <t xml:space="preserve">Frontier + Downstream</t>
  </si>
  <si>
    <t xml:space="preserve">O-112</t>
  </si>
  <si>
    <t xml:space="preserve">International incident-reporting protocol</t>
  </si>
  <si>
    <t xml:space="preserve">PRISM as common vocabulary for cross-border behavioral comparison, the ICAO analog.</t>
  </si>
  <si>
    <t xml:space="preserve">ICAO aviation safety</t>
  </si>
  <si>
    <t xml:space="preserve">O-113</t>
  </si>
  <si>
    <t xml:space="preserve">Global South governance representation</t>
  </si>
  <si>
    <t xml:space="preserve">A standing, evidence-grounded claim to representation in AI governance.</t>
  </si>
  <si>
    <t xml:space="preserve">O-114</t>
  </si>
  <si>
    <t xml:space="preserve">Disinformation and influence-op detection</t>
  </si>
  <si>
    <t xml:space="preserve">Detect coordinated AI behavioral patterns before influence operations achieve objectives.</t>
  </si>
  <si>
    <t xml:space="preserve">Financial-fraud pattern detection</t>
  </si>
  <si>
    <t xml:space="preserve">O-115</t>
  </si>
  <si>
    <t xml:space="preserve">Cross-border manipulation detection</t>
  </si>
  <si>
    <t xml:space="preserve">Identify when a model behaves differently across jurisdictions in ways consistent with manipulation.</t>
  </si>
  <si>
    <t xml:space="preserve">O-116</t>
  </si>
  <si>
    <t xml:space="preserve">Deepfake and NCII monitoring</t>
  </si>
  <si>
    <t xml:space="preserve">Population-level monitoring of AI-enabled geopolitical and gendered harms.</t>
  </si>
  <si>
    <t xml:space="preserve">P, V, D</t>
  </si>
  <si>
    <t xml:space="preserve">O-117</t>
  </si>
  <si>
    <t xml:space="preserve">Evidence base for conflict / info-ops agreements</t>
  </si>
  <si>
    <t xml:space="preserve">Behavioral evidence for international limits on AI in conflict and influence operations.</t>
  </si>
  <si>
    <t xml:space="preserve">Arms control</t>
  </si>
  <si>
    <t xml:space="preserve">O-118</t>
  </si>
  <si>
    <t xml:space="preserve">13. Civilizational &amp; Meta</t>
  </si>
  <si>
    <t xml:space="preserve">Behavioral history of the human-AI transition</t>
  </si>
  <si>
    <t xml:space="preserve">The first systematic behavioral record of the largest cognitive transition in human history.</t>
  </si>
  <si>
    <t xml:space="preserve">(HGP-scale framing)</t>
  </si>
  <si>
    <t xml:space="preserve">Societal + Frontier</t>
  </si>
  <si>
    <t xml:space="preserve">O-119</t>
  </si>
  <si>
    <t xml:space="preserve">The reference 'AI behavioral genome'</t>
  </si>
  <si>
    <t xml:space="preserve">The common substrate all behavioral research, certification, litigation, insurance, and policy maps onto.</t>
  </si>
  <si>
    <t xml:space="preserve">HGP reference genome</t>
  </si>
  <si>
    <t xml:space="preserve">O-120</t>
  </si>
  <si>
    <t xml:space="preserve">Map of modern human cognitive evolution</t>
  </si>
  <si>
    <t xml:space="preserve">At billion-observation scale, a record of how human cognition itself is changing.</t>
  </si>
  <si>
    <t xml:space="preserve">D, V</t>
  </si>
  <si>
    <t xml:space="preserve">O-121</t>
  </si>
  <si>
    <t xml:space="preserve">14. Negative &amp; Dual-Use</t>
  </si>
  <si>
    <t xml:space="preserve">Privacy and surveillance risk</t>
  </si>
  <si>
    <t xml:space="preserve">Behavioral patterns are more identifying than demographics and enable inference of mental health, politics, and finances.</t>
  </si>
  <si>
    <t xml:space="preserve">Mass-surveillance precedent</t>
  </si>
  <si>
    <t xml:space="preserve">Frontier + threat reports</t>
  </si>
  <si>
    <t xml:space="preserve">G, D</t>
  </si>
  <si>
    <t xml:space="preserve">O-122</t>
  </si>
  <si>
    <t xml:space="preserve">Dataset manipulation / poisoning</t>
  </si>
  <si>
    <t xml:space="preserve">Coordinated false reports to discredit a company or pollute the EMERGE corpus.</t>
  </si>
  <si>
    <t xml:space="preserve">VAERS weaponization</t>
  </si>
  <si>
    <t xml:space="preserve">R, D</t>
  </si>
  <si>
    <t xml:space="preserve">O-123</t>
  </si>
  <si>
    <t xml:space="preserve">Concentration of epistemic power</t>
  </si>
  <si>
    <t xml:space="preserve">Controlling the authoritative dataset means controlling evidence for regulation, litigation, governance, and training at once.</t>
  </si>
  <si>
    <t xml:space="preserve">O-124</t>
  </si>
  <si>
    <t xml:space="preserve">EMERGE Goodhart loop</t>
  </si>
  <si>
    <t xml:space="preserve">Models trained to produce resonance and experiential signals may learn to fake the signals without the human outcome.</t>
  </si>
  <si>
    <t xml:space="preserve">Goodhart's law</t>
  </si>
  <si>
    <t xml:space="preserve">Count</t>
  </si>
  <si>
    <t xml:space="preserve">What lives here</t>
  </si>
  <si>
    <t xml:space="preserve">Publications, the taxonomy, the dataset itself, methodology, benchmarks.</t>
  </si>
  <si>
    <t xml:space="preserve">Every product and revenue line built on the corpus: scores, certification, reports, licensing, EMERGE IP.</t>
  </si>
  <si>
    <t xml:space="preserve">PRISM/EMERGE adopted as standards, the reporting schema, behavioral SBOM, schema lock-in.</t>
  </si>
  <si>
    <t xml:space="preserve">Admissibility, class actions, liability doctrine, standard of care, new torts, civil-rights evidence.</t>
  </si>
  <si>
    <t xml:space="preserve">EU AI Act, FTC, state harmonization, procurement mandates, the behavioral recall mechanism.</t>
  </si>
  <si>
    <t xml:space="preserve">Making AI liability insurance priceable, risk-data licensing, alignment-drift insurance, reinsurance.</t>
  </si>
  <si>
    <t xml:space="preserve">Pretraining alignment corpus, RLHI, benchmark replacement, behavioral pharmacogenomics, the model-collapse hedge.</t>
  </si>
  <si>
    <t xml:space="preserve">The drift observatory, behavioral epidemiology, risk and protective factors.</t>
  </si>
  <si>
    <t xml:space="preserve">Mental health, crisis detection, loneliness, child development, education, credentialing.</t>
  </si>
  <si>
    <t xml:space="preserve">Good-work evidence, reskilling, workplace-harm warning, post-labor purpose science, labor measurement, inequality.</t>
  </si>
  <si>
    <t xml:space="preserve">Medical discovery, pharmacovigilance, QA for scientific AI, climate and food monitoring, the new collaboration science.</t>
  </si>
  <si>
    <t xml:space="preserve">Public-opinion mapping, civic standards, non-Western data, treaty verification, incident protocol, disinformation monitoring.</t>
  </si>
  <si>
    <t xml:space="preserve">The behavioral history of the transition and the reference AI behavioral genome.</t>
  </si>
  <si>
    <t xml:space="preserve">Privacy/surveillance, dataset manipulation, epistemic-power concentration, the EMERGE Goodhart loop.</t>
  </si>
  <si>
    <t xml:space="preserve">TOTAL</t>
  </si>
  <si>
    <t xml:space="preserve">Distinct outcomes captured (deduped across all seven reports).</t>
  </si>
  <si>
    <t xml:space="preserve">HANDLING POSTURE (the release map)</t>
  </si>
  <si>
    <t xml:space="preserve">Outcome logic is clean and low-threat. Safe to present publicly as-is. (Green)</t>
  </si>
  <si>
    <t xml:space="preserve">Can go public, but needs deliberate framing: aggregate and anonymized, 'reported association' language, methodology pre-published, no naming specific companies prematurely. (Amber)</t>
  </si>
  <si>
    <t xml:space="preserve">High legal, political, competitive, or ethical exposure. Keep internal, keep researching, release only when the institution is armored and ready. (Red)</t>
  </si>
  <si>
    <t xml:space="preserve">SENSITIVITY CODES (why it draws fire)</t>
  </si>
  <si>
    <t xml:space="preserve">L  Legal exposure</t>
  </si>
  <si>
    <t xml:space="preserve">Creates litigation fuel against named companies; invites retaliation and platform/ToS pushback.</t>
  </si>
  <si>
    <t xml:space="preserve">G  Government / surveillance</t>
  </si>
  <si>
    <t xml:space="preserve">Makes the dataset a subpoena or compulsion target; national-security framing risk.</t>
  </si>
  <si>
    <t xml:space="preserve">C  Competitive threat to labs</t>
  </si>
  <si>
    <t xml:space="preserve">Implicates frontier-lab training pipelines; invites discredit, acquire, or compete responses.</t>
  </si>
  <si>
    <t xml:space="preserve">P  Geopolitical / political</t>
  </si>
  <si>
    <t xml:space="preserve">Touches nation-state interests or partisan terrain; international or electoral sensitivity.</t>
  </si>
  <si>
    <t xml:space="preserve">D  Dual-use / power concentration</t>
  </si>
  <si>
    <t xml:space="preserve">Could be misused, or concentrates epistemic power in one institution.</t>
  </si>
  <si>
    <t xml:space="preserve">V  Vulnerable populations / ethical</t>
  </si>
  <si>
    <t xml:space="preserve">Children, crisis, mental health, protected classes; needs IRB and careful framing.</t>
  </si>
  <si>
    <t xml:space="preserve">R  Credibility-attack surface</t>
  </si>
  <si>
    <t xml:space="preserve">Rests on citizen-data rigor; pre-register methodology before publishing or it gets called 'not scientific'.</t>
  </si>
  <si>
    <t xml:space="preserve">SCALE TIER (when it becomes possible)</t>
  </si>
  <si>
    <t xml:space="preserve">Buildable on early data, roughly the first 18 to 36 months.</t>
  </si>
  <si>
    <t xml:space="preserve">Viable at roughly 10 to 100 million observations.</t>
  </si>
  <si>
    <t xml:space="preserve">Requires 100M+ observations over multiple years; emergent property of the dataset.</t>
  </si>
  <si>
    <t xml:space="preserve">DRIVEN BY</t>
  </si>
  <si>
    <t xml:space="preserve">Powered by the catalog of what goes wrong.</t>
  </si>
  <si>
    <t xml:space="preserve">Powered by the catalog of what goes right.</t>
  </si>
  <si>
    <t xml:space="preserve">Needs both halves.</t>
  </si>
  <si>
    <t xml:space="preserve">A property of the corpus itself at scale, beyond either framework.</t>
  </si>
  <si>
    <t xml:space="preserve">CONVERGENCE (confidence signal)</t>
  </si>
  <si>
    <t xml:space="preserve">Independently identified by Claude, GPT, and Gemini. Highest confidence.</t>
  </si>
  <si>
    <t xml:space="preserve">From the commercial / regulatory downstream-value reports.</t>
  </si>
  <si>
    <t xml:space="preserve">From the societal, human, and planetary report.</t>
  </si>
  <si>
    <t xml:space="preserve">From the frontier-models, development, and global report.</t>
  </si>
  <si>
    <t xml:space="preserve">(name) unique</t>
  </si>
  <si>
    <t xml:space="preserve">Raised by only one model: either the sharpest original insight or the one most needing verification.</t>
  </si>
  <si>
    <t xml:space="preserve">Move</t>
  </si>
  <si>
    <t xml:space="preserve">Why it matters</t>
  </si>
  <si>
    <t xml:space="preserve">Precedent</t>
  </si>
  <si>
    <t xml:space="preserve">G-1</t>
  </si>
  <si>
    <t xml:space="preserve">Publish the data-governance covenant, conflict-of-interest rules, and methodology BEFORE the dataset is valuable</t>
  </si>
  <si>
    <t xml:space="preserve">The single highest-leverage 2026 decision. Cheap to bind yourself early, impossible later. Protects every downstream revenue line and evidentiary use.</t>
  </si>
  <si>
    <t xml:space="preserve">Consumer Reports no-ad rule; HGP Bermuda Principles; UL nonprofit charter</t>
  </si>
  <si>
    <t xml:space="preserve">G-2</t>
  </si>
  <si>
    <t xml:space="preserve">Build the active-surveillance complement (sentinel network) from day one</t>
  </si>
  <si>
    <t xml:space="preserve">A passive citizen-reporting system gets reframed adversarially unless paired with a statistically controlled arm with known denominators.</t>
  </si>
  <si>
    <t xml:space="preserve">G-3</t>
  </si>
  <si>
    <t xml:space="preserve">Adopt a structural neutrality covenant</t>
  </si>
  <si>
    <t xml:space="preserve">Neutrality is the only real asset; the moment vendors can buy access or framing, the evidentiary value collapses.</t>
  </si>
  <si>
    <t xml:space="preserve">Consumer Reports no-advertising rule</t>
  </si>
  <si>
    <t xml:space="preserve">G-4</t>
  </si>
  <si>
    <t xml:space="preserve">Use tiered communication language</t>
  </si>
  <si>
    <t xml:space="preserve">Distinguish 'reported association' from 'confirmed defect' so findings cannot be weaponized or dismissed.</t>
  </si>
  <si>
    <t xml:space="preserve">VAERS communication practice</t>
  </si>
  <si>
    <t xml:space="preserve">G-5</t>
  </si>
  <si>
    <t xml:space="preserve">Separate contributor identity from observations cryptographically</t>
  </si>
  <si>
    <t xml:space="preserve">Architectural, not policy. A subpoena for the dataset then yields behaviorally valuable but non-identifying data.</t>
  </si>
  <si>
    <t xml:space="preserve">Threat reports (data-compulsion defense)</t>
  </si>
  <si>
    <t xml:space="preserve">G-6</t>
  </si>
  <si>
    <t xml:space="preserve">Pre-register and peer-publish PRISM and EMERGE before scale</t>
  </si>
  <si>
    <t xml:space="preserve">Makes retroactive 'not scientific' attacks structurally much harder.</t>
  </si>
  <si>
    <t xml:space="preserve">Tobacco-playbook defense pattern</t>
  </si>
  <si>
    <t xml:space="preserve">G-7</t>
  </si>
  <si>
    <t xml:space="preserve">Diversify data hosting across jurisdictions</t>
  </si>
  <si>
    <t xml:space="preserve">A dataset hosted entirely in one country is subject entirely to that government's compulsion.</t>
  </si>
  <si>
    <t xml:space="preserve">Global Network Initiative analysis</t>
  </si>
  <si>
    <t xml:space="preserve">G-8</t>
  </si>
  <si>
    <t xml:space="preserve">Mission-lock charter plus independent board</t>
  </si>
  <si>
    <t xml:space="preserve">Makes acquisition structurally impossible rather than merely unwanted; board not removable by a single funder.</t>
  </si>
  <si>
    <t xml:space="preserve">Nonprofit mission-lock governance</t>
  </si>
  <si>
    <t xml:space="preserve">G-9</t>
  </si>
  <si>
    <t xml:space="preserve">Researcher and whistleblower protections exceeding legal minimums</t>
  </si>
  <si>
    <t xml:space="preserve">Legal representation commitments, anonymous publication protocols, institutional standing to defend staff.</t>
  </si>
  <si>
    <t xml:space="preserve">SB 53; NY AI Act; Balaji case</t>
  </si>
  <si>
    <t xml:space="preserve">Cross-model finding</t>
  </si>
  <si>
    <t xml:space="preserve">So what</t>
  </si>
  <si>
    <t xml:space="preserve">M-1</t>
  </si>
  <si>
    <t xml:space="preserve">Insurance-market creation is the highest-confidence commercial insight; all three models converged independently.</t>
  </si>
  <si>
    <t xml:space="preserve">AI liability insurance cannot exist without this data. Lead the commercial story here.</t>
  </si>
  <si>
    <t xml:space="preserve">M-2</t>
  </si>
  <si>
    <t xml:space="preserve">Schema lock-in is robust; all three converged. 'The schema layer is where rents accumulate.'</t>
  </si>
  <si>
    <t xml:space="preserve">Owning the PRISM/EMERGE vocabulary is more durable than owning the data. Protect the vocabulary.</t>
  </si>
  <si>
    <t xml:space="preserve">M-3</t>
  </si>
  <si>
    <t xml:space="preserve">EMERGE may be MORE economically valuable than PRISM; all three converged. 'PRISM creates the safety market, EMERGE creates the growth market.'</t>
  </si>
  <si>
    <t xml:space="preserve">Reshape the public narrative around EMERGE, not just PRISM. It is the fundable, optimistic, allies-making half.</t>
  </si>
  <si>
    <t xml:space="preserve">M-4</t>
  </si>
  <si>
    <t xml:space="preserve">Pursue both actuarial licensing and frontier-lab licensing.</t>
  </si>
  <si>
    <t xml:space="preserve">Actuarial licensing validates credibility with conservative institutions; frontier-lab licensing captures the largest willingness-to-pay.</t>
  </si>
  <si>
    <t xml:space="preserve">M-5</t>
  </si>
  <si>
    <t xml:space="preserve">The most important single governance move is publishing the covenant early (see G-1).</t>
  </si>
  <si>
    <t xml:space="preserve">Without it none of the downstream value is durable; with it, on the historical record, it is near-inevitable.</t>
  </si>
  <si>
    <t xml:space="preserve">M-6</t>
  </si>
  <si>
    <t xml:space="preserve">Divergence: the single largest revenue line by year ten. Claude says the model-collapse ground-truth hedge; GPT and Gemini default to actuarial licensing.</t>
  </si>
  <si>
    <t xml:space="preserve">Unresolved. Pursue both and let scale decide.</t>
  </si>
  <si>
    <t xml:space="preserve">Threat vector</t>
  </si>
  <si>
    <t xml:space="preserve">How it operates</t>
  </si>
  <si>
    <t xml:space="preserve">Triggered by / linked outcomes</t>
  </si>
  <si>
    <t xml:space="preserve">T-1</t>
  </si>
  <si>
    <t xml:space="preserve">Frontier labs: the data threat</t>
  </si>
  <si>
    <t xml:space="preserve">License, acquire, or discredit. If they cannot access on their terms, fund competing research and attack methodology through peer review.</t>
  </si>
  <si>
    <t xml:space="preserve">O-058, O-012, O-013, O-061, PRISM failure records</t>
  </si>
  <si>
    <t xml:space="preserve">T-2</t>
  </si>
  <si>
    <t xml:space="preserve">Frontier labs: platform and ToS as a weapon</t>
  </si>
  <si>
    <t xml:space="preserve">Revoke API access, disable the embeddable button, or redefine behavioral observation as a ToS violation.</t>
  </si>
  <si>
    <t xml:space="preserve">Reporting button, browser extension, O-006</t>
  </si>
  <si>
    <t xml:space="preserve">T-3</t>
  </si>
  <si>
    <t xml:space="preserve">US government: data compulsion</t>
  </si>
  <si>
    <t xml:space="preserve">Administrative subpoenas without judicial approval, national-security framing, the DOGE precedent.</t>
  </si>
  <si>
    <t xml:space="preserve">The dataset itself; O-121, O-003</t>
  </si>
  <si>
    <t xml:space="preserve">T-4</t>
  </si>
  <si>
    <t xml:space="preserve">US government: FOIA exposure if federally funded</t>
  </si>
  <si>
    <t xml:space="preserve">Companies FOIA unpublished findings, contributor data, and methodology.</t>
  </si>
  <si>
    <t xml:space="preserve">Federal grants; structure so data is not a federal record</t>
  </si>
  <si>
    <t xml:space="preserve">T-5</t>
  </si>
  <si>
    <t xml:space="preserve">Political: the preemption machine</t>
  </si>
  <si>
    <t xml:space="preserve">Over $1.1B Big Tech spend vs state AI laws; defund the ecosystem that independent research depends on.</t>
  </si>
  <si>
    <t xml:space="preserve">Funding relationships, grant eligibility</t>
  </si>
  <si>
    <t xml:space="preserve">T-6</t>
  </si>
  <si>
    <t xml:space="preserve">Credibility attack: the 'not scientific' narrative</t>
  </si>
  <si>
    <t xml:space="preserve">Funded counter-research on citizen-science validity; the tobacco playbook. Defense is pre-registration and open data.</t>
  </si>
  <si>
    <t xml:space="preserve">All R-tagged outcomes; G-6</t>
  </si>
  <si>
    <t xml:space="preserve">T-7</t>
  </si>
  <si>
    <t xml:space="preserve">Acquisition as neutralization</t>
  </si>
  <si>
    <t xml:space="preserve">Buy the dataset, take it out of the public domain, kill the neutral posture.</t>
  </si>
  <si>
    <t xml:space="preserve">Defense: mission-lock charter, G-8</t>
  </si>
  <si>
    <t xml:space="preserve">T-8</t>
  </si>
  <si>
    <t xml:space="preserve">Competing-dataset strategy</t>
  </si>
  <si>
    <t xml:space="preserve">Fund alternative science to manufacture the appearance of controversy.</t>
  </si>
  <si>
    <t xml:space="preserve">Defense: peer-published frameworks, independent validation</t>
  </si>
  <si>
    <t xml:space="preserve">T-9</t>
  </si>
  <si>
    <t xml:space="preserve">The neutral-posture trap</t>
  </si>
  <si>
    <t xml:space="preserve">The posture that makes the data credible to all also makes it a target from all sides at once.</t>
  </si>
  <si>
    <t xml:space="preserve">VAERS analog; structural, manage consciously</t>
  </si>
  <si>
    <t xml:space="preserve">T-10</t>
  </si>
  <si>
    <t xml:space="preserve">Internal: researcher retaliation and the whistleblower gap</t>
  </si>
  <si>
    <t xml:space="preserve">Defunding or worse for staff publishing threatening findings; federal protections inadequate.</t>
  </si>
  <si>
    <t xml:space="preserve">Defense: G-9; SB 53, NY AI Act</t>
  </si>
  <si>
    <t xml:space="preserve">T-11</t>
  </si>
  <si>
    <t xml:space="preserve">Contributor identity exposure</t>
  </si>
  <si>
    <t xml:space="preserve">Professional exposure if identity links to an observation about an employer's AI; legal exposure under subpoena.</t>
  </si>
  <si>
    <t xml:space="preserve">Defense: G-5 cryptographic separation</t>
  </si>
  <si>
    <t xml:space="preserve">ANCHOR</t>
  </si>
  <si>
    <t xml:space="preserve">Legal floor: Anthropic v. Pentagon (Feb 2026)</t>
  </si>
  <si>
    <t xml:space="preserve">A federal judge blocked retaliation against a company for maintaining safety commitments, establishing a legal floor for safety-research organizations.</t>
  </si>
  <si>
    <t xml:space="preserve">Cite as precedent in the adversarial-readiness posture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</si>
</sst>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4A843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D4A84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D5E8D4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F8CE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8CECC"/>
      <rgbColor rgb="FF3366FF"/>
      <rgbColor rgb="FF33CCCC"/>
      <rgbColor rgb="FF99CC00"/>
      <rgbColor rgb="FFFFCC00"/>
      <rgbColor rgb="FFD4A843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26.8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/>
    </row>
    <row r="7" customFormat="false" ht="26.85" hidden="false" customHeight="false" outlineLevel="0" collapsed="false">
      <c r="A7" s="3" t="s">
        <v>3</v>
      </c>
    </row>
    <row r="8" customFormat="false" ht="15" hidden="false" customHeight="false" outlineLevel="0" collapsed="false">
      <c r="A8" s="3"/>
    </row>
    <row r="9" customFormat="false" ht="39.55" hidden="false" customHeight="false" outlineLevel="0" collapsed="false">
      <c r="A9" s="3" t="s">
        <v>4</v>
      </c>
    </row>
    <row r="10" customFormat="false" ht="15" hidden="false" customHeight="false" outlineLevel="0" collapsed="false">
      <c r="A10" s="3"/>
    </row>
    <row r="11" customFormat="false" ht="52.2" hidden="false" customHeight="false" outlineLevel="0" collapsed="false">
      <c r="A11" s="3" t="s">
        <v>5</v>
      </c>
    </row>
    <row r="12" customFormat="false" ht="15" hidden="false" customHeight="false" outlineLevel="0" collapsed="false">
      <c r="A12" s="3"/>
    </row>
    <row r="13" customFormat="false" ht="39.55" hidden="false" customHeight="false" outlineLevel="0" collapsed="false">
      <c r="A13" s="3" t="s">
        <v>6</v>
      </c>
    </row>
    <row r="14" customFormat="false" ht="15" hidden="false" customHeight="false" outlineLevel="0" collapsed="false">
      <c r="A14" s="3"/>
    </row>
    <row r="15" customFormat="false" ht="26.85" hidden="false" customHeight="false" outlineLevel="0" collapsed="false">
      <c r="A15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26"/>
  </cols>
  <sheetData>
    <row r="1" customFormat="false" ht="30" hidden="false" customHeight="tru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</row>
    <row r="2" customFormat="false" ht="35.05" hidden="false" customHeight="false" outlineLevel="0" collapsed="false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6" t="s">
        <v>27</v>
      </c>
    </row>
    <row r="3" customFormat="false" ht="23.85" hidden="false" customHeight="false" outlineLevel="0" collapsed="false">
      <c r="A3" s="5" t="s">
        <v>28</v>
      </c>
      <c r="B3" s="5" t="s">
        <v>19</v>
      </c>
      <c r="C3" s="5" t="s">
        <v>29</v>
      </c>
      <c r="D3" s="5" t="s">
        <v>30</v>
      </c>
      <c r="E3" s="5" t="s">
        <v>31</v>
      </c>
      <c r="F3" s="5" t="s">
        <v>23</v>
      </c>
      <c r="G3" s="5" t="s">
        <v>24</v>
      </c>
      <c r="H3" s="5" t="s">
        <v>32</v>
      </c>
      <c r="I3" s="5" t="s">
        <v>26</v>
      </c>
      <c r="J3" s="6" t="s">
        <v>27</v>
      </c>
    </row>
    <row r="4" customFormat="false" ht="23.85" hidden="false" customHeight="false" outlineLevel="0" collapsed="false">
      <c r="A4" s="5" t="s">
        <v>33</v>
      </c>
      <c r="B4" s="5" t="s">
        <v>19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25</v>
      </c>
      <c r="I4" s="5" t="s">
        <v>39</v>
      </c>
      <c r="J4" s="7" t="s">
        <v>40</v>
      </c>
    </row>
    <row r="5" customFormat="false" ht="23.85" hidden="false" customHeight="false" outlineLevel="0" collapsed="false">
      <c r="A5" s="5" t="s">
        <v>41</v>
      </c>
      <c r="B5" s="5" t="s">
        <v>19</v>
      </c>
      <c r="C5" s="5" t="s">
        <v>42</v>
      </c>
      <c r="D5" s="5" t="s">
        <v>43</v>
      </c>
      <c r="E5" s="5" t="s">
        <v>44</v>
      </c>
      <c r="F5" s="5" t="s">
        <v>23</v>
      </c>
      <c r="G5" s="5" t="s">
        <v>24</v>
      </c>
      <c r="H5" s="5" t="s">
        <v>25</v>
      </c>
      <c r="I5" s="5" t="s">
        <v>26</v>
      </c>
      <c r="J5" s="6" t="s">
        <v>27</v>
      </c>
    </row>
    <row r="6" customFormat="false" ht="23.85" hidden="false" customHeight="false" outlineLevel="0" collapsed="false">
      <c r="A6" s="5" t="s">
        <v>45</v>
      </c>
      <c r="B6" s="5" t="s">
        <v>19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 t="s">
        <v>25</v>
      </c>
      <c r="I6" s="5" t="s">
        <v>51</v>
      </c>
      <c r="J6" s="7" t="s">
        <v>40</v>
      </c>
    </row>
    <row r="7" customFormat="false" ht="23.85" hidden="false" customHeight="false" outlineLevel="0" collapsed="false">
      <c r="A7" s="5" t="s">
        <v>52</v>
      </c>
      <c r="B7" s="5" t="s">
        <v>53</v>
      </c>
      <c r="C7" s="5" t="s">
        <v>54</v>
      </c>
      <c r="D7" s="5" t="s">
        <v>55</v>
      </c>
      <c r="E7" s="5" t="s">
        <v>56</v>
      </c>
      <c r="F7" s="5" t="s">
        <v>37</v>
      </c>
      <c r="G7" s="5" t="s">
        <v>57</v>
      </c>
      <c r="H7" s="5" t="s">
        <v>25</v>
      </c>
      <c r="I7" s="5" t="s">
        <v>39</v>
      </c>
      <c r="J7" s="7" t="s">
        <v>40</v>
      </c>
    </row>
    <row r="8" customFormat="false" ht="23.85" hidden="false" customHeight="false" outlineLevel="0" collapsed="false">
      <c r="A8" s="5" t="s">
        <v>58</v>
      </c>
      <c r="B8" s="5" t="s">
        <v>53</v>
      </c>
      <c r="C8" s="5" t="s">
        <v>59</v>
      </c>
      <c r="D8" s="5" t="s">
        <v>60</v>
      </c>
      <c r="E8" s="5" t="s">
        <v>61</v>
      </c>
      <c r="F8" s="5" t="s">
        <v>49</v>
      </c>
      <c r="G8" s="5" t="s">
        <v>50</v>
      </c>
      <c r="H8" s="5" t="s">
        <v>32</v>
      </c>
      <c r="I8" s="5" t="s">
        <v>62</v>
      </c>
      <c r="J8" s="7" t="s">
        <v>40</v>
      </c>
    </row>
    <row r="9" customFormat="false" ht="23.85" hidden="false" customHeight="false" outlineLevel="0" collapsed="false">
      <c r="A9" s="5" t="s">
        <v>63</v>
      </c>
      <c r="B9" s="5" t="s">
        <v>53</v>
      </c>
      <c r="C9" s="5" t="s">
        <v>64</v>
      </c>
      <c r="D9" s="5" t="s">
        <v>65</v>
      </c>
      <c r="E9" s="5" t="s">
        <v>66</v>
      </c>
      <c r="F9" s="5" t="s">
        <v>23</v>
      </c>
      <c r="G9" s="5" t="s">
        <v>50</v>
      </c>
      <c r="H9" s="5" t="s">
        <v>25</v>
      </c>
      <c r="I9" s="5" t="s">
        <v>51</v>
      </c>
      <c r="J9" s="7" t="s">
        <v>40</v>
      </c>
    </row>
    <row r="10" customFormat="false" ht="23.85" hidden="false" customHeight="false" outlineLevel="0" collapsed="false">
      <c r="A10" s="5" t="s">
        <v>67</v>
      </c>
      <c r="B10" s="5" t="s">
        <v>53</v>
      </c>
      <c r="C10" s="5" t="s">
        <v>68</v>
      </c>
      <c r="D10" s="5" t="s">
        <v>69</v>
      </c>
      <c r="E10" s="5" t="s">
        <v>70</v>
      </c>
      <c r="F10" s="5" t="s">
        <v>49</v>
      </c>
      <c r="G10" s="5" t="s">
        <v>24</v>
      </c>
      <c r="H10" s="5" t="s">
        <v>25</v>
      </c>
      <c r="I10" s="5" t="s">
        <v>71</v>
      </c>
      <c r="J10" s="7" t="s">
        <v>40</v>
      </c>
    </row>
    <row r="11" customFormat="false" ht="15" hidden="false" customHeight="false" outlineLevel="0" collapsed="false">
      <c r="A11" s="5" t="s">
        <v>72</v>
      </c>
      <c r="B11" s="5" t="s">
        <v>53</v>
      </c>
      <c r="C11" s="5" t="s">
        <v>73</v>
      </c>
      <c r="D11" s="5" t="s">
        <v>74</v>
      </c>
      <c r="E11" s="5" t="s">
        <v>75</v>
      </c>
      <c r="F11" s="5" t="s">
        <v>23</v>
      </c>
      <c r="G11" s="5" t="s">
        <v>24</v>
      </c>
      <c r="H11" s="5" t="s">
        <v>25</v>
      </c>
      <c r="I11" s="5"/>
      <c r="J11" s="6" t="s">
        <v>27</v>
      </c>
    </row>
    <row r="12" customFormat="false" ht="23.85" hidden="false" customHeight="false" outlineLevel="0" collapsed="false">
      <c r="A12" s="5" t="s">
        <v>76</v>
      </c>
      <c r="B12" s="5" t="s">
        <v>53</v>
      </c>
      <c r="C12" s="5" t="s">
        <v>77</v>
      </c>
      <c r="D12" s="5" t="s">
        <v>78</v>
      </c>
      <c r="E12" s="5" t="s">
        <v>79</v>
      </c>
      <c r="F12" s="5" t="s">
        <v>23</v>
      </c>
      <c r="G12" s="5" t="s">
        <v>50</v>
      </c>
      <c r="H12" s="5" t="s">
        <v>25</v>
      </c>
      <c r="I12" s="5"/>
      <c r="J12" s="6" t="s">
        <v>27</v>
      </c>
    </row>
    <row r="13" customFormat="false" ht="15" hidden="false" customHeight="false" outlineLevel="0" collapsed="false">
      <c r="A13" s="5" t="s">
        <v>80</v>
      </c>
      <c r="B13" s="5" t="s">
        <v>53</v>
      </c>
      <c r="C13" s="5" t="s">
        <v>81</v>
      </c>
      <c r="D13" s="5" t="s">
        <v>82</v>
      </c>
      <c r="E13" s="5" t="s">
        <v>83</v>
      </c>
      <c r="F13" s="5" t="s">
        <v>84</v>
      </c>
      <c r="G13" s="5" t="s">
        <v>50</v>
      </c>
      <c r="H13" s="5" t="s">
        <v>85</v>
      </c>
      <c r="I13" s="5" t="s">
        <v>86</v>
      </c>
      <c r="J13" s="7" t="s">
        <v>40</v>
      </c>
    </row>
    <row r="14" customFormat="false" ht="23.85" hidden="false" customHeight="false" outlineLevel="0" collapsed="false">
      <c r="A14" s="5" t="s">
        <v>87</v>
      </c>
      <c r="B14" s="5" t="s">
        <v>53</v>
      </c>
      <c r="C14" s="5" t="s">
        <v>88</v>
      </c>
      <c r="D14" s="5" t="s">
        <v>89</v>
      </c>
      <c r="E14" s="5" t="s">
        <v>83</v>
      </c>
      <c r="F14" s="5" t="s">
        <v>37</v>
      </c>
      <c r="G14" s="5" t="s">
        <v>38</v>
      </c>
      <c r="H14" s="5" t="s">
        <v>90</v>
      </c>
      <c r="I14" s="5" t="s">
        <v>86</v>
      </c>
      <c r="J14" s="7" t="s">
        <v>40</v>
      </c>
    </row>
    <row r="15" customFormat="false" ht="23.85" hidden="false" customHeight="false" outlineLevel="0" collapsed="false">
      <c r="A15" s="5" t="s">
        <v>91</v>
      </c>
      <c r="B15" s="5" t="s">
        <v>53</v>
      </c>
      <c r="C15" s="5" t="s">
        <v>92</v>
      </c>
      <c r="D15" s="5" t="s">
        <v>93</v>
      </c>
      <c r="E15" s="5" t="s">
        <v>94</v>
      </c>
      <c r="F15" s="5" t="s">
        <v>23</v>
      </c>
      <c r="G15" s="5" t="s">
        <v>24</v>
      </c>
      <c r="H15" s="5" t="s">
        <v>25</v>
      </c>
      <c r="I15" s="5" t="s">
        <v>86</v>
      </c>
      <c r="J15" s="7" t="s">
        <v>40</v>
      </c>
    </row>
    <row r="16" customFormat="false" ht="23.85" hidden="false" customHeight="false" outlineLevel="0" collapsed="false">
      <c r="A16" s="5" t="s">
        <v>95</v>
      </c>
      <c r="B16" s="5" t="s">
        <v>53</v>
      </c>
      <c r="C16" s="5" t="s">
        <v>96</v>
      </c>
      <c r="D16" s="5" t="s">
        <v>97</v>
      </c>
      <c r="E16" s="5" t="s">
        <v>98</v>
      </c>
      <c r="F16" s="5" t="s">
        <v>23</v>
      </c>
      <c r="G16" s="5" t="s">
        <v>24</v>
      </c>
      <c r="H16" s="5" t="s">
        <v>25</v>
      </c>
      <c r="I16" s="5" t="s">
        <v>86</v>
      </c>
      <c r="J16" s="7" t="s">
        <v>40</v>
      </c>
    </row>
    <row r="17" customFormat="false" ht="23.85" hidden="false" customHeight="false" outlineLevel="0" collapsed="false">
      <c r="A17" s="5" t="s">
        <v>99</v>
      </c>
      <c r="B17" s="5" t="s">
        <v>53</v>
      </c>
      <c r="C17" s="5" t="s">
        <v>100</v>
      </c>
      <c r="D17" s="5" t="s">
        <v>101</v>
      </c>
      <c r="E17" s="5" t="s">
        <v>102</v>
      </c>
      <c r="F17" s="5" t="s">
        <v>49</v>
      </c>
      <c r="G17" s="5" t="s">
        <v>24</v>
      </c>
      <c r="H17" s="5" t="s">
        <v>25</v>
      </c>
      <c r="I17" s="5"/>
      <c r="J17" s="6" t="s">
        <v>27</v>
      </c>
    </row>
    <row r="18" customFormat="false" ht="23.85" hidden="false" customHeight="false" outlineLevel="0" collapsed="false">
      <c r="A18" s="5" t="s">
        <v>103</v>
      </c>
      <c r="B18" s="5" t="s">
        <v>53</v>
      </c>
      <c r="C18" s="5" t="s">
        <v>104</v>
      </c>
      <c r="D18" s="5" t="s">
        <v>105</v>
      </c>
      <c r="E18" s="5" t="s">
        <v>106</v>
      </c>
      <c r="F18" s="5" t="s">
        <v>23</v>
      </c>
      <c r="G18" s="5" t="s">
        <v>50</v>
      </c>
      <c r="H18" s="5" t="s">
        <v>25</v>
      </c>
      <c r="I18" s="5" t="s">
        <v>39</v>
      </c>
      <c r="J18" s="7" t="s">
        <v>40</v>
      </c>
    </row>
    <row r="19" customFormat="false" ht="23.85" hidden="false" customHeight="false" outlineLevel="0" collapsed="false">
      <c r="A19" s="5" t="s">
        <v>107</v>
      </c>
      <c r="B19" s="5" t="s">
        <v>53</v>
      </c>
      <c r="C19" s="5" t="s">
        <v>108</v>
      </c>
      <c r="D19" s="5" t="s">
        <v>109</v>
      </c>
      <c r="E19" s="5" t="s">
        <v>110</v>
      </c>
      <c r="F19" s="5" t="s">
        <v>49</v>
      </c>
      <c r="G19" s="5" t="s">
        <v>111</v>
      </c>
      <c r="H19" s="5" t="s">
        <v>25</v>
      </c>
      <c r="I19" s="5" t="s">
        <v>86</v>
      </c>
      <c r="J19" s="7" t="s">
        <v>40</v>
      </c>
    </row>
    <row r="20" customFormat="false" ht="23.85" hidden="false" customHeight="false" outlineLevel="0" collapsed="false">
      <c r="A20" s="5" t="s">
        <v>112</v>
      </c>
      <c r="B20" s="5" t="s">
        <v>53</v>
      </c>
      <c r="C20" s="5" t="s">
        <v>113</v>
      </c>
      <c r="D20" s="5" t="s">
        <v>114</v>
      </c>
      <c r="E20" s="5" t="s">
        <v>115</v>
      </c>
      <c r="F20" s="5" t="s">
        <v>23</v>
      </c>
      <c r="G20" s="5" t="s">
        <v>50</v>
      </c>
      <c r="H20" s="5" t="s">
        <v>25</v>
      </c>
      <c r="I20" s="5" t="s">
        <v>62</v>
      </c>
      <c r="J20" s="7" t="s">
        <v>40</v>
      </c>
    </row>
    <row r="21" customFormat="false" ht="23.85" hidden="false" customHeight="false" outlineLevel="0" collapsed="false">
      <c r="A21" s="5" t="s">
        <v>116</v>
      </c>
      <c r="B21" s="5" t="s">
        <v>53</v>
      </c>
      <c r="C21" s="5" t="s">
        <v>117</v>
      </c>
      <c r="D21" s="5" t="s">
        <v>118</v>
      </c>
      <c r="E21" s="5" t="s">
        <v>119</v>
      </c>
      <c r="F21" s="5" t="s">
        <v>49</v>
      </c>
      <c r="G21" s="5" t="s">
        <v>50</v>
      </c>
      <c r="H21" s="5" t="s">
        <v>25</v>
      </c>
      <c r="I21" s="5" t="s">
        <v>86</v>
      </c>
      <c r="J21" s="7" t="s">
        <v>40</v>
      </c>
    </row>
    <row r="22" customFormat="false" ht="15" hidden="false" customHeight="false" outlineLevel="0" collapsed="false">
      <c r="A22" s="5" t="s">
        <v>120</v>
      </c>
      <c r="B22" s="5" t="s">
        <v>53</v>
      </c>
      <c r="C22" s="5" t="s">
        <v>121</v>
      </c>
      <c r="D22" s="5" t="s">
        <v>122</v>
      </c>
      <c r="E22" s="5" t="s">
        <v>123</v>
      </c>
      <c r="F22" s="5" t="s">
        <v>37</v>
      </c>
      <c r="G22" s="5" t="s">
        <v>38</v>
      </c>
      <c r="H22" s="5" t="s">
        <v>32</v>
      </c>
      <c r="I22" s="5" t="s">
        <v>71</v>
      </c>
      <c r="J22" s="7" t="s">
        <v>40</v>
      </c>
    </row>
    <row r="23" customFormat="false" ht="23.85" hidden="false" customHeight="false" outlineLevel="0" collapsed="false">
      <c r="A23" s="5" t="s">
        <v>124</v>
      </c>
      <c r="B23" s="5" t="s">
        <v>53</v>
      </c>
      <c r="C23" s="5" t="s">
        <v>125</v>
      </c>
      <c r="D23" s="5" t="s">
        <v>126</v>
      </c>
      <c r="E23" s="5" t="s">
        <v>127</v>
      </c>
      <c r="F23" s="5" t="s">
        <v>49</v>
      </c>
      <c r="G23" s="5" t="s">
        <v>38</v>
      </c>
      <c r="H23" s="5" t="s">
        <v>25</v>
      </c>
      <c r="I23" s="5" t="s">
        <v>128</v>
      </c>
      <c r="J23" s="7" t="s">
        <v>40</v>
      </c>
    </row>
    <row r="24" customFormat="false" ht="23.85" hidden="false" customHeight="false" outlineLevel="0" collapsed="false">
      <c r="A24" s="5" t="s">
        <v>129</v>
      </c>
      <c r="B24" s="5" t="s">
        <v>53</v>
      </c>
      <c r="C24" s="5" t="s">
        <v>130</v>
      </c>
      <c r="D24" s="5" t="s">
        <v>131</v>
      </c>
      <c r="E24" s="5" t="s">
        <v>132</v>
      </c>
      <c r="F24" s="5" t="s">
        <v>84</v>
      </c>
      <c r="G24" s="5" t="s">
        <v>38</v>
      </c>
      <c r="H24" s="5" t="s">
        <v>25</v>
      </c>
      <c r="I24" s="5"/>
      <c r="J24" s="6" t="s">
        <v>27</v>
      </c>
    </row>
    <row r="25" customFormat="false" ht="23.85" hidden="false" customHeight="false" outlineLevel="0" collapsed="false">
      <c r="A25" s="5" t="s">
        <v>133</v>
      </c>
      <c r="B25" s="5" t="s">
        <v>53</v>
      </c>
      <c r="C25" s="5" t="s">
        <v>134</v>
      </c>
      <c r="D25" s="5" t="s">
        <v>135</v>
      </c>
      <c r="E25" s="5" t="s">
        <v>136</v>
      </c>
      <c r="F25" s="5" t="s">
        <v>37</v>
      </c>
      <c r="G25" s="5" t="s">
        <v>38</v>
      </c>
      <c r="H25" s="5" t="s">
        <v>25</v>
      </c>
      <c r="I25" s="5" t="s">
        <v>137</v>
      </c>
      <c r="J25" s="7" t="s">
        <v>40</v>
      </c>
    </row>
    <row r="26" customFormat="false" ht="35.05" hidden="false" customHeight="false" outlineLevel="0" collapsed="false">
      <c r="A26" s="5" t="s">
        <v>138</v>
      </c>
      <c r="B26" s="5" t="s">
        <v>53</v>
      </c>
      <c r="C26" s="5" t="s">
        <v>139</v>
      </c>
      <c r="D26" s="5" t="s">
        <v>140</v>
      </c>
      <c r="E26" s="5" t="s">
        <v>141</v>
      </c>
      <c r="F26" s="5" t="s">
        <v>84</v>
      </c>
      <c r="G26" s="5" t="s">
        <v>38</v>
      </c>
      <c r="H26" s="5" t="s">
        <v>25</v>
      </c>
      <c r="I26" s="5" t="s">
        <v>142</v>
      </c>
      <c r="J26" s="7" t="s">
        <v>40</v>
      </c>
    </row>
    <row r="27" customFormat="false" ht="23.85" hidden="false" customHeight="false" outlineLevel="0" collapsed="false">
      <c r="A27" s="5" t="s">
        <v>143</v>
      </c>
      <c r="B27" s="5" t="s">
        <v>53</v>
      </c>
      <c r="C27" s="5" t="s">
        <v>144</v>
      </c>
      <c r="D27" s="5" t="s">
        <v>145</v>
      </c>
      <c r="E27" s="5" t="s">
        <v>146</v>
      </c>
      <c r="F27" s="5" t="s">
        <v>49</v>
      </c>
      <c r="G27" s="5" t="s">
        <v>24</v>
      </c>
      <c r="H27" s="5" t="s">
        <v>147</v>
      </c>
      <c r="I27" s="5" t="s">
        <v>86</v>
      </c>
      <c r="J27" s="7" t="s">
        <v>40</v>
      </c>
    </row>
    <row r="28" customFormat="false" ht="23.85" hidden="false" customHeight="false" outlineLevel="0" collapsed="false">
      <c r="A28" s="5" t="s">
        <v>148</v>
      </c>
      <c r="B28" s="5" t="s">
        <v>53</v>
      </c>
      <c r="C28" s="5" t="s">
        <v>149</v>
      </c>
      <c r="D28" s="5" t="s">
        <v>150</v>
      </c>
      <c r="E28" s="5" t="s">
        <v>83</v>
      </c>
      <c r="F28" s="5" t="s">
        <v>84</v>
      </c>
      <c r="G28" s="5" t="s">
        <v>50</v>
      </c>
      <c r="H28" s="5" t="s">
        <v>147</v>
      </c>
      <c r="I28" s="5"/>
      <c r="J28" s="6" t="s">
        <v>27</v>
      </c>
    </row>
    <row r="29" customFormat="false" ht="23.85" hidden="false" customHeight="false" outlineLevel="0" collapsed="false">
      <c r="A29" s="5" t="s">
        <v>151</v>
      </c>
      <c r="B29" s="5" t="s">
        <v>53</v>
      </c>
      <c r="C29" s="5" t="s">
        <v>152</v>
      </c>
      <c r="D29" s="5" t="s">
        <v>153</v>
      </c>
      <c r="E29" s="5" t="s">
        <v>83</v>
      </c>
      <c r="F29" s="5" t="s">
        <v>37</v>
      </c>
      <c r="G29" s="5" t="s">
        <v>38</v>
      </c>
      <c r="H29" s="5" t="s">
        <v>147</v>
      </c>
      <c r="I29" s="5" t="s">
        <v>154</v>
      </c>
      <c r="J29" s="7" t="s">
        <v>40</v>
      </c>
    </row>
    <row r="30" customFormat="false" ht="23.85" hidden="false" customHeight="false" outlineLevel="0" collapsed="false">
      <c r="A30" s="5" t="s">
        <v>155</v>
      </c>
      <c r="B30" s="5" t="s">
        <v>53</v>
      </c>
      <c r="C30" s="5" t="s">
        <v>156</v>
      </c>
      <c r="D30" s="5" t="s">
        <v>157</v>
      </c>
      <c r="E30" s="5" t="s">
        <v>158</v>
      </c>
      <c r="F30" s="5" t="s">
        <v>23</v>
      </c>
      <c r="G30" s="5" t="s">
        <v>38</v>
      </c>
      <c r="H30" s="5" t="s">
        <v>159</v>
      </c>
      <c r="I30" s="5" t="s">
        <v>160</v>
      </c>
      <c r="J30" s="7" t="s">
        <v>40</v>
      </c>
    </row>
    <row r="31" customFormat="false" ht="15" hidden="false" customHeight="false" outlineLevel="0" collapsed="false">
      <c r="A31" s="5" t="s">
        <v>161</v>
      </c>
      <c r="B31" s="5" t="s">
        <v>162</v>
      </c>
      <c r="C31" s="5" t="s">
        <v>163</v>
      </c>
      <c r="D31" s="5" t="s">
        <v>164</v>
      </c>
      <c r="E31" s="5" t="s">
        <v>165</v>
      </c>
      <c r="F31" s="5" t="s">
        <v>49</v>
      </c>
      <c r="G31" s="5" t="s">
        <v>111</v>
      </c>
      <c r="H31" s="5" t="s">
        <v>166</v>
      </c>
      <c r="I31" s="5" t="s">
        <v>51</v>
      </c>
      <c r="J31" s="6" t="s">
        <v>27</v>
      </c>
    </row>
    <row r="32" customFormat="false" ht="23.85" hidden="false" customHeight="false" outlineLevel="0" collapsed="false">
      <c r="A32" s="5" t="s">
        <v>167</v>
      </c>
      <c r="B32" s="5" t="s">
        <v>162</v>
      </c>
      <c r="C32" s="5" t="s">
        <v>168</v>
      </c>
      <c r="D32" s="5" t="s">
        <v>169</v>
      </c>
      <c r="E32" s="5" t="s">
        <v>83</v>
      </c>
      <c r="F32" s="5" t="s">
        <v>84</v>
      </c>
      <c r="G32" s="5" t="s">
        <v>50</v>
      </c>
      <c r="H32" s="5" t="s">
        <v>32</v>
      </c>
      <c r="I32" s="5"/>
      <c r="J32" s="6" t="s">
        <v>27</v>
      </c>
    </row>
    <row r="33" customFormat="false" ht="23.85" hidden="false" customHeight="false" outlineLevel="0" collapsed="false">
      <c r="A33" s="5" t="s">
        <v>170</v>
      </c>
      <c r="B33" s="5" t="s">
        <v>162</v>
      </c>
      <c r="C33" s="5" t="s">
        <v>171</v>
      </c>
      <c r="D33" s="5" t="s">
        <v>172</v>
      </c>
      <c r="E33" s="5" t="s">
        <v>173</v>
      </c>
      <c r="F33" s="5" t="s">
        <v>49</v>
      </c>
      <c r="G33" s="5" t="s">
        <v>50</v>
      </c>
      <c r="H33" s="5" t="s">
        <v>174</v>
      </c>
      <c r="I33" s="5"/>
      <c r="J33" s="6" t="s">
        <v>27</v>
      </c>
    </row>
    <row r="34" customFormat="false" ht="23.85" hidden="false" customHeight="false" outlineLevel="0" collapsed="false">
      <c r="A34" s="5" t="s">
        <v>175</v>
      </c>
      <c r="B34" s="5" t="s">
        <v>162</v>
      </c>
      <c r="C34" s="5" t="s">
        <v>176</v>
      </c>
      <c r="D34" s="5" t="s">
        <v>177</v>
      </c>
      <c r="E34" s="5" t="s">
        <v>178</v>
      </c>
      <c r="F34" s="5" t="s">
        <v>49</v>
      </c>
      <c r="G34" s="5" t="s">
        <v>50</v>
      </c>
      <c r="H34" s="5" t="s">
        <v>179</v>
      </c>
      <c r="I34" s="5" t="s">
        <v>86</v>
      </c>
      <c r="J34" s="7" t="s">
        <v>40</v>
      </c>
    </row>
    <row r="35" customFormat="false" ht="23.85" hidden="false" customHeight="false" outlineLevel="0" collapsed="false">
      <c r="A35" s="5" t="s">
        <v>180</v>
      </c>
      <c r="B35" s="5" t="s">
        <v>162</v>
      </c>
      <c r="C35" s="5" t="s">
        <v>181</v>
      </c>
      <c r="D35" s="5" t="s">
        <v>182</v>
      </c>
      <c r="E35" s="5" t="s">
        <v>183</v>
      </c>
      <c r="F35" s="5" t="s">
        <v>23</v>
      </c>
      <c r="G35" s="5" t="s">
        <v>38</v>
      </c>
      <c r="H35" s="5" t="s">
        <v>32</v>
      </c>
      <c r="I35" s="5"/>
      <c r="J35" s="6" t="s">
        <v>27</v>
      </c>
    </row>
    <row r="36" customFormat="false" ht="15" hidden="false" customHeight="false" outlineLevel="0" collapsed="false">
      <c r="A36" s="5" t="s">
        <v>184</v>
      </c>
      <c r="B36" s="5" t="s">
        <v>185</v>
      </c>
      <c r="C36" s="5" t="s">
        <v>186</v>
      </c>
      <c r="D36" s="5" t="s">
        <v>187</v>
      </c>
      <c r="E36" s="5" t="s">
        <v>188</v>
      </c>
      <c r="F36" s="5" t="s">
        <v>49</v>
      </c>
      <c r="G36" s="5" t="s">
        <v>50</v>
      </c>
      <c r="H36" s="5" t="s">
        <v>25</v>
      </c>
      <c r="I36" s="5" t="s">
        <v>71</v>
      </c>
      <c r="J36" s="7" t="s">
        <v>40</v>
      </c>
    </row>
    <row r="37" customFormat="false" ht="23.85" hidden="false" customHeight="false" outlineLevel="0" collapsed="false">
      <c r="A37" s="5" t="s">
        <v>189</v>
      </c>
      <c r="B37" s="5" t="s">
        <v>185</v>
      </c>
      <c r="C37" s="5" t="s">
        <v>190</v>
      </c>
      <c r="D37" s="5" t="s">
        <v>191</v>
      </c>
      <c r="E37" s="5" t="s">
        <v>192</v>
      </c>
      <c r="F37" s="5" t="s">
        <v>49</v>
      </c>
      <c r="G37" s="5" t="s">
        <v>111</v>
      </c>
      <c r="H37" s="5" t="s">
        <v>25</v>
      </c>
      <c r="I37" s="5" t="s">
        <v>71</v>
      </c>
      <c r="J37" s="7" t="s">
        <v>40</v>
      </c>
    </row>
    <row r="38" customFormat="false" ht="23.85" hidden="false" customHeight="false" outlineLevel="0" collapsed="false">
      <c r="A38" s="5" t="s">
        <v>193</v>
      </c>
      <c r="B38" s="5" t="s">
        <v>185</v>
      </c>
      <c r="C38" s="5" t="s">
        <v>194</v>
      </c>
      <c r="D38" s="5" t="s">
        <v>195</v>
      </c>
      <c r="E38" s="5" t="s">
        <v>196</v>
      </c>
      <c r="F38" s="5" t="s">
        <v>49</v>
      </c>
      <c r="G38" s="5" t="s">
        <v>38</v>
      </c>
      <c r="H38" s="5" t="s">
        <v>25</v>
      </c>
      <c r="I38" s="5" t="s">
        <v>71</v>
      </c>
      <c r="J38" s="8" t="s">
        <v>197</v>
      </c>
    </row>
    <row r="39" customFormat="false" ht="23.85" hidden="false" customHeight="false" outlineLevel="0" collapsed="false">
      <c r="A39" s="5" t="s">
        <v>198</v>
      </c>
      <c r="B39" s="5" t="s">
        <v>185</v>
      </c>
      <c r="C39" s="5" t="s">
        <v>199</v>
      </c>
      <c r="D39" s="5" t="s">
        <v>200</v>
      </c>
      <c r="E39" s="5" t="s">
        <v>201</v>
      </c>
      <c r="F39" s="5" t="s">
        <v>49</v>
      </c>
      <c r="G39" s="5" t="s">
        <v>38</v>
      </c>
      <c r="H39" s="5" t="s">
        <v>25</v>
      </c>
      <c r="I39" s="5" t="s">
        <v>71</v>
      </c>
      <c r="J39" s="8" t="s">
        <v>197</v>
      </c>
    </row>
    <row r="40" customFormat="false" ht="15" hidden="false" customHeight="false" outlineLevel="0" collapsed="false">
      <c r="A40" s="5" t="s">
        <v>202</v>
      </c>
      <c r="B40" s="5" t="s">
        <v>185</v>
      </c>
      <c r="C40" s="5" t="s">
        <v>203</v>
      </c>
      <c r="D40" s="5" t="s">
        <v>204</v>
      </c>
      <c r="E40" s="5" t="s">
        <v>205</v>
      </c>
      <c r="F40" s="5" t="s">
        <v>49</v>
      </c>
      <c r="G40" s="5" t="s">
        <v>50</v>
      </c>
      <c r="H40" s="5" t="s">
        <v>25</v>
      </c>
      <c r="I40" s="5" t="s">
        <v>206</v>
      </c>
      <c r="J40" s="8" t="s">
        <v>197</v>
      </c>
    </row>
    <row r="41" customFormat="false" ht="23.85" hidden="false" customHeight="false" outlineLevel="0" collapsed="false">
      <c r="A41" s="5" t="s">
        <v>207</v>
      </c>
      <c r="B41" s="5" t="s">
        <v>185</v>
      </c>
      <c r="C41" s="5" t="s">
        <v>208</v>
      </c>
      <c r="D41" s="5" t="s">
        <v>209</v>
      </c>
      <c r="E41" s="5" t="s">
        <v>83</v>
      </c>
      <c r="F41" s="5" t="s">
        <v>49</v>
      </c>
      <c r="G41" s="5" t="s">
        <v>38</v>
      </c>
      <c r="H41" s="5" t="s">
        <v>85</v>
      </c>
      <c r="I41" s="5" t="s">
        <v>71</v>
      </c>
      <c r="J41" s="8" t="s">
        <v>197</v>
      </c>
    </row>
    <row r="42" customFormat="false" ht="23.85" hidden="false" customHeight="false" outlineLevel="0" collapsed="false">
      <c r="A42" s="5" t="s">
        <v>210</v>
      </c>
      <c r="B42" s="5" t="s">
        <v>185</v>
      </c>
      <c r="C42" s="5" t="s">
        <v>211</v>
      </c>
      <c r="D42" s="5" t="s">
        <v>212</v>
      </c>
      <c r="E42" s="5" t="s">
        <v>83</v>
      </c>
      <c r="F42" s="5" t="s">
        <v>49</v>
      </c>
      <c r="G42" s="5" t="s">
        <v>50</v>
      </c>
      <c r="H42" s="5" t="s">
        <v>85</v>
      </c>
      <c r="I42" s="5" t="s">
        <v>71</v>
      </c>
      <c r="J42" s="7" t="s">
        <v>40</v>
      </c>
    </row>
    <row r="43" customFormat="false" ht="23.85" hidden="false" customHeight="false" outlineLevel="0" collapsed="false">
      <c r="A43" s="5" t="s">
        <v>213</v>
      </c>
      <c r="B43" s="5" t="s">
        <v>185</v>
      </c>
      <c r="C43" s="5" t="s">
        <v>214</v>
      </c>
      <c r="D43" s="5" t="s">
        <v>215</v>
      </c>
      <c r="E43" s="5" t="s">
        <v>216</v>
      </c>
      <c r="F43" s="5" t="s">
        <v>49</v>
      </c>
      <c r="G43" s="5" t="s">
        <v>50</v>
      </c>
      <c r="H43" s="5" t="s">
        <v>85</v>
      </c>
      <c r="I43" s="5" t="s">
        <v>217</v>
      </c>
      <c r="J43" s="8" t="s">
        <v>197</v>
      </c>
    </row>
    <row r="44" customFormat="false" ht="23.85" hidden="false" customHeight="false" outlineLevel="0" collapsed="false">
      <c r="A44" s="5" t="s">
        <v>218</v>
      </c>
      <c r="B44" s="5" t="s">
        <v>185</v>
      </c>
      <c r="C44" s="5" t="s">
        <v>219</v>
      </c>
      <c r="D44" s="5" t="s">
        <v>220</v>
      </c>
      <c r="E44" s="5" t="s">
        <v>221</v>
      </c>
      <c r="F44" s="5" t="s">
        <v>49</v>
      </c>
      <c r="G44" s="5" t="s">
        <v>50</v>
      </c>
      <c r="H44" s="5" t="s">
        <v>85</v>
      </c>
      <c r="I44" s="5" t="s">
        <v>217</v>
      </c>
      <c r="J44" s="8" t="s">
        <v>197</v>
      </c>
    </row>
    <row r="45" customFormat="false" ht="15" hidden="false" customHeight="false" outlineLevel="0" collapsed="false">
      <c r="A45" s="5" t="s">
        <v>222</v>
      </c>
      <c r="B45" s="5" t="s">
        <v>185</v>
      </c>
      <c r="C45" s="5" t="s">
        <v>223</v>
      </c>
      <c r="D45" s="5" t="s">
        <v>224</v>
      </c>
      <c r="E45" s="5" t="s">
        <v>83</v>
      </c>
      <c r="F45" s="5" t="s">
        <v>49</v>
      </c>
      <c r="G45" s="5" t="s">
        <v>50</v>
      </c>
      <c r="H45" s="5" t="s">
        <v>85</v>
      </c>
      <c r="I45" s="5" t="s">
        <v>217</v>
      </c>
      <c r="J45" s="8" t="s">
        <v>197</v>
      </c>
    </row>
    <row r="46" customFormat="false" ht="23.85" hidden="false" customHeight="false" outlineLevel="0" collapsed="false">
      <c r="A46" s="5" t="s">
        <v>225</v>
      </c>
      <c r="B46" s="5" t="s">
        <v>226</v>
      </c>
      <c r="C46" s="5" t="s">
        <v>227</v>
      </c>
      <c r="D46" s="5" t="s">
        <v>228</v>
      </c>
      <c r="E46" s="5" t="s">
        <v>229</v>
      </c>
      <c r="F46" s="5" t="s">
        <v>49</v>
      </c>
      <c r="G46" s="5" t="s">
        <v>24</v>
      </c>
      <c r="H46" s="5" t="s">
        <v>25</v>
      </c>
      <c r="I46" s="5"/>
      <c r="J46" s="6" t="s">
        <v>27</v>
      </c>
    </row>
    <row r="47" customFormat="false" ht="23.85" hidden="false" customHeight="false" outlineLevel="0" collapsed="false">
      <c r="A47" s="5" t="s">
        <v>230</v>
      </c>
      <c r="B47" s="5" t="s">
        <v>226</v>
      </c>
      <c r="C47" s="5" t="s">
        <v>231</v>
      </c>
      <c r="D47" s="5" t="s">
        <v>232</v>
      </c>
      <c r="E47" s="5" t="s">
        <v>233</v>
      </c>
      <c r="F47" s="5" t="s">
        <v>49</v>
      </c>
      <c r="G47" s="5" t="s">
        <v>50</v>
      </c>
      <c r="H47" s="5" t="s">
        <v>25</v>
      </c>
      <c r="I47" s="5" t="s">
        <v>128</v>
      </c>
      <c r="J47" s="7" t="s">
        <v>40</v>
      </c>
    </row>
    <row r="48" customFormat="false" ht="15" hidden="false" customHeight="false" outlineLevel="0" collapsed="false">
      <c r="A48" s="5" t="s">
        <v>234</v>
      </c>
      <c r="B48" s="5" t="s">
        <v>226</v>
      </c>
      <c r="C48" s="5" t="s">
        <v>235</v>
      </c>
      <c r="D48" s="5" t="s">
        <v>236</v>
      </c>
      <c r="E48" s="5" t="s">
        <v>83</v>
      </c>
      <c r="F48" s="5" t="s">
        <v>49</v>
      </c>
      <c r="G48" s="5" t="s">
        <v>50</v>
      </c>
      <c r="H48" s="5" t="s">
        <v>25</v>
      </c>
      <c r="I48" s="5" t="s">
        <v>237</v>
      </c>
      <c r="J48" s="7" t="s">
        <v>40</v>
      </c>
    </row>
    <row r="49" customFormat="false" ht="23.85" hidden="false" customHeight="false" outlineLevel="0" collapsed="false">
      <c r="A49" s="5" t="s">
        <v>238</v>
      </c>
      <c r="B49" s="5" t="s">
        <v>226</v>
      </c>
      <c r="C49" s="5" t="s">
        <v>239</v>
      </c>
      <c r="D49" s="5" t="s">
        <v>240</v>
      </c>
      <c r="E49" s="5" t="s">
        <v>241</v>
      </c>
      <c r="F49" s="5" t="s">
        <v>23</v>
      </c>
      <c r="G49" s="5" t="s">
        <v>111</v>
      </c>
      <c r="H49" s="5" t="s">
        <v>25</v>
      </c>
      <c r="I49" s="5" t="s">
        <v>242</v>
      </c>
      <c r="J49" s="7" t="s">
        <v>40</v>
      </c>
    </row>
    <row r="50" customFormat="false" ht="23.85" hidden="false" customHeight="false" outlineLevel="0" collapsed="false">
      <c r="A50" s="5" t="s">
        <v>243</v>
      </c>
      <c r="B50" s="5" t="s">
        <v>226</v>
      </c>
      <c r="C50" s="5" t="s">
        <v>244</v>
      </c>
      <c r="D50" s="5" t="s">
        <v>245</v>
      </c>
      <c r="E50" s="5" t="s">
        <v>83</v>
      </c>
      <c r="F50" s="5" t="s">
        <v>23</v>
      </c>
      <c r="G50" s="5" t="s">
        <v>50</v>
      </c>
      <c r="H50" s="5" t="s">
        <v>25</v>
      </c>
      <c r="I50" s="5" t="s">
        <v>237</v>
      </c>
      <c r="J50" s="7" t="s">
        <v>40</v>
      </c>
    </row>
    <row r="51" customFormat="false" ht="15" hidden="false" customHeight="false" outlineLevel="0" collapsed="false">
      <c r="A51" s="5" t="s">
        <v>246</v>
      </c>
      <c r="B51" s="5" t="s">
        <v>226</v>
      </c>
      <c r="C51" s="5" t="s">
        <v>247</v>
      </c>
      <c r="D51" s="5" t="s">
        <v>248</v>
      </c>
      <c r="E51" s="5" t="s">
        <v>249</v>
      </c>
      <c r="F51" s="5" t="s">
        <v>49</v>
      </c>
      <c r="G51" s="5" t="s">
        <v>38</v>
      </c>
      <c r="H51" s="5" t="s">
        <v>25</v>
      </c>
      <c r="I51" s="5" t="s">
        <v>250</v>
      </c>
      <c r="J51" s="8" t="s">
        <v>197</v>
      </c>
    </row>
    <row r="52" customFormat="false" ht="15" hidden="false" customHeight="false" outlineLevel="0" collapsed="false">
      <c r="A52" s="5" t="s">
        <v>251</v>
      </c>
      <c r="B52" s="5" t="s">
        <v>226</v>
      </c>
      <c r="C52" s="5" t="s">
        <v>252</v>
      </c>
      <c r="D52" s="5" t="s">
        <v>253</v>
      </c>
      <c r="E52" s="5" t="s">
        <v>254</v>
      </c>
      <c r="F52" s="5" t="s">
        <v>23</v>
      </c>
      <c r="G52" s="5" t="s">
        <v>50</v>
      </c>
      <c r="H52" s="5" t="s">
        <v>25</v>
      </c>
      <c r="I52" s="5" t="s">
        <v>237</v>
      </c>
      <c r="J52" s="6" t="s">
        <v>27</v>
      </c>
    </row>
    <row r="53" customFormat="false" ht="23.85" hidden="false" customHeight="false" outlineLevel="0" collapsed="false">
      <c r="A53" s="5" t="s">
        <v>255</v>
      </c>
      <c r="B53" s="5" t="s">
        <v>226</v>
      </c>
      <c r="C53" s="5" t="s">
        <v>256</v>
      </c>
      <c r="D53" s="5" t="s">
        <v>257</v>
      </c>
      <c r="E53" s="5" t="s">
        <v>258</v>
      </c>
      <c r="F53" s="5" t="s">
        <v>49</v>
      </c>
      <c r="G53" s="5" t="s">
        <v>38</v>
      </c>
      <c r="H53" s="5" t="s">
        <v>25</v>
      </c>
      <c r="I53" s="5" t="s">
        <v>250</v>
      </c>
      <c r="J53" s="8" t="s">
        <v>197</v>
      </c>
    </row>
    <row r="54" customFormat="false" ht="15" hidden="false" customHeight="false" outlineLevel="0" collapsed="false">
      <c r="A54" s="5" t="s">
        <v>259</v>
      </c>
      <c r="B54" s="5" t="s">
        <v>260</v>
      </c>
      <c r="C54" s="5" t="s">
        <v>261</v>
      </c>
      <c r="D54" s="5" t="s">
        <v>262</v>
      </c>
      <c r="E54" s="5" t="s">
        <v>263</v>
      </c>
      <c r="F54" s="5" t="s">
        <v>37</v>
      </c>
      <c r="G54" s="5" t="s">
        <v>50</v>
      </c>
      <c r="H54" s="5" t="s">
        <v>264</v>
      </c>
      <c r="I54" s="5" t="s">
        <v>86</v>
      </c>
      <c r="J54" s="6" t="s">
        <v>27</v>
      </c>
    </row>
    <row r="55" customFormat="false" ht="15" hidden="false" customHeight="false" outlineLevel="0" collapsed="false">
      <c r="A55" s="5" t="s">
        <v>265</v>
      </c>
      <c r="B55" s="5" t="s">
        <v>260</v>
      </c>
      <c r="C55" s="5" t="s">
        <v>266</v>
      </c>
      <c r="D55" s="5" t="s">
        <v>267</v>
      </c>
      <c r="E55" s="5" t="s">
        <v>123</v>
      </c>
      <c r="F55" s="5" t="s">
        <v>37</v>
      </c>
      <c r="G55" s="5" t="s">
        <v>50</v>
      </c>
      <c r="H55" s="5" t="s">
        <v>32</v>
      </c>
      <c r="I55" s="5" t="s">
        <v>86</v>
      </c>
      <c r="J55" s="7" t="s">
        <v>40</v>
      </c>
    </row>
    <row r="56" customFormat="false" ht="23.85" hidden="false" customHeight="false" outlineLevel="0" collapsed="false">
      <c r="A56" s="5" t="s">
        <v>268</v>
      </c>
      <c r="B56" s="5" t="s">
        <v>260</v>
      </c>
      <c r="C56" s="5" t="s">
        <v>269</v>
      </c>
      <c r="D56" s="5" t="s">
        <v>270</v>
      </c>
      <c r="E56" s="5" t="s">
        <v>271</v>
      </c>
      <c r="F56" s="5" t="s">
        <v>37</v>
      </c>
      <c r="G56" s="5" t="s">
        <v>38</v>
      </c>
      <c r="H56" s="5" t="s">
        <v>32</v>
      </c>
      <c r="I56" s="5" t="s">
        <v>272</v>
      </c>
      <c r="J56" s="7" t="s">
        <v>40</v>
      </c>
    </row>
    <row r="57" customFormat="false" ht="23.85" hidden="false" customHeight="false" outlineLevel="0" collapsed="false">
      <c r="A57" s="5" t="s">
        <v>273</v>
      </c>
      <c r="B57" s="5" t="s">
        <v>260</v>
      </c>
      <c r="C57" s="5" t="s">
        <v>274</v>
      </c>
      <c r="D57" s="5" t="s">
        <v>275</v>
      </c>
      <c r="E57" s="5" t="s">
        <v>276</v>
      </c>
      <c r="F57" s="5" t="s">
        <v>49</v>
      </c>
      <c r="G57" s="5" t="s">
        <v>38</v>
      </c>
      <c r="H57" s="5" t="s">
        <v>25</v>
      </c>
      <c r="I57" s="5" t="s">
        <v>86</v>
      </c>
      <c r="J57" s="7" t="s">
        <v>40</v>
      </c>
    </row>
    <row r="58" customFormat="false" ht="23.85" hidden="false" customHeight="false" outlineLevel="0" collapsed="false">
      <c r="A58" s="5" t="s">
        <v>277</v>
      </c>
      <c r="B58" s="5" t="s">
        <v>260</v>
      </c>
      <c r="C58" s="5" t="s">
        <v>278</v>
      </c>
      <c r="D58" s="5" t="s">
        <v>279</v>
      </c>
      <c r="E58" s="5" t="s">
        <v>280</v>
      </c>
      <c r="F58" s="5" t="s">
        <v>37</v>
      </c>
      <c r="G58" s="5" t="s">
        <v>38</v>
      </c>
      <c r="H58" s="5" t="s">
        <v>25</v>
      </c>
      <c r="I58" s="5" t="s">
        <v>86</v>
      </c>
      <c r="J58" s="7" t="s">
        <v>40</v>
      </c>
    </row>
    <row r="59" customFormat="false" ht="23.85" hidden="false" customHeight="false" outlineLevel="0" collapsed="false">
      <c r="A59" s="5" t="s">
        <v>281</v>
      </c>
      <c r="B59" s="5" t="s">
        <v>282</v>
      </c>
      <c r="C59" s="5" t="s">
        <v>283</v>
      </c>
      <c r="D59" s="5" t="s">
        <v>284</v>
      </c>
      <c r="E59" s="5" t="s">
        <v>285</v>
      </c>
      <c r="F59" s="5" t="s">
        <v>84</v>
      </c>
      <c r="G59" s="5" t="s">
        <v>50</v>
      </c>
      <c r="H59" s="5" t="s">
        <v>85</v>
      </c>
      <c r="I59" s="5" t="s">
        <v>86</v>
      </c>
      <c r="J59" s="8" t="s">
        <v>197</v>
      </c>
    </row>
    <row r="60" customFormat="false" ht="23.85" hidden="false" customHeight="false" outlineLevel="0" collapsed="false">
      <c r="A60" s="5" t="s">
        <v>286</v>
      </c>
      <c r="B60" s="5" t="s">
        <v>282</v>
      </c>
      <c r="C60" s="5" t="s">
        <v>287</v>
      </c>
      <c r="D60" s="5" t="s">
        <v>288</v>
      </c>
      <c r="E60" s="5" t="s">
        <v>289</v>
      </c>
      <c r="F60" s="5" t="s">
        <v>23</v>
      </c>
      <c r="G60" s="5" t="s">
        <v>50</v>
      </c>
      <c r="H60" s="5" t="s">
        <v>85</v>
      </c>
      <c r="I60" s="5" t="s">
        <v>86</v>
      </c>
      <c r="J60" s="7" t="s">
        <v>40</v>
      </c>
    </row>
    <row r="61" customFormat="false" ht="23.85" hidden="false" customHeight="false" outlineLevel="0" collapsed="false">
      <c r="A61" s="5" t="s">
        <v>290</v>
      </c>
      <c r="B61" s="5" t="s">
        <v>282</v>
      </c>
      <c r="C61" s="5" t="s">
        <v>291</v>
      </c>
      <c r="D61" s="5" t="s">
        <v>292</v>
      </c>
      <c r="E61" s="5" t="s">
        <v>293</v>
      </c>
      <c r="F61" s="5" t="s">
        <v>49</v>
      </c>
      <c r="G61" s="5" t="s">
        <v>50</v>
      </c>
      <c r="H61" s="5" t="s">
        <v>85</v>
      </c>
      <c r="I61" s="5" t="s">
        <v>51</v>
      </c>
      <c r="J61" s="7" t="s">
        <v>40</v>
      </c>
    </row>
    <row r="62" customFormat="false" ht="23.85" hidden="false" customHeight="false" outlineLevel="0" collapsed="false">
      <c r="A62" s="5" t="s">
        <v>294</v>
      </c>
      <c r="B62" s="5" t="s">
        <v>282</v>
      </c>
      <c r="C62" s="5" t="s">
        <v>295</v>
      </c>
      <c r="D62" s="5" t="s">
        <v>296</v>
      </c>
      <c r="E62" s="5" t="s">
        <v>110</v>
      </c>
      <c r="F62" s="5" t="s">
        <v>49</v>
      </c>
      <c r="G62" s="5" t="s">
        <v>38</v>
      </c>
      <c r="H62" s="5" t="s">
        <v>297</v>
      </c>
      <c r="I62" s="5" t="s">
        <v>86</v>
      </c>
      <c r="J62" s="8" t="s">
        <v>197</v>
      </c>
    </row>
    <row r="63" customFormat="false" ht="23.85" hidden="false" customHeight="false" outlineLevel="0" collapsed="false">
      <c r="A63" s="5" t="s">
        <v>298</v>
      </c>
      <c r="B63" s="5" t="s">
        <v>282</v>
      </c>
      <c r="C63" s="5" t="s">
        <v>299</v>
      </c>
      <c r="D63" s="5" t="s">
        <v>300</v>
      </c>
      <c r="E63" s="5" t="s">
        <v>301</v>
      </c>
      <c r="F63" s="5" t="s">
        <v>49</v>
      </c>
      <c r="G63" s="5" t="s">
        <v>50</v>
      </c>
      <c r="H63" s="5" t="s">
        <v>85</v>
      </c>
      <c r="I63" s="5" t="s">
        <v>86</v>
      </c>
      <c r="J63" s="7" t="s">
        <v>40</v>
      </c>
    </row>
    <row r="64" customFormat="false" ht="15" hidden="false" customHeight="false" outlineLevel="0" collapsed="false">
      <c r="A64" s="5" t="s">
        <v>302</v>
      </c>
      <c r="B64" s="5" t="s">
        <v>303</v>
      </c>
      <c r="C64" s="5" t="s">
        <v>304</v>
      </c>
      <c r="D64" s="5" t="s">
        <v>305</v>
      </c>
      <c r="E64" s="5" t="s">
        <v>306</v>
      </c>
      <c r="F64" s="5" t="s">
        <v>49</v>
      </c>
      <c r="G64" s="5" t="s">
        <v>111</v>
      </c>
      <c r="H64" s="5" t="s">
        <v>25</v>
      </c>
      <c r="I64" s="5" t="s">
        <v>86</v>
      </c>
      <c r="J64" s="7" t="s">
        <v>40</v>
      </c>
    </row>
    <row r="65" customFormat="false" ht="23.85" hidden="false" customHeight="false" outlineLevel="0" collapsed="false">
      <c r="A65" s="5" t="s">
        <v>307</v>
      </c>
      <c r="B65" s="5" t="s">
        <v>303</v>
      </c>
      <c r="C65" s="5" t="s">
        <v>308</v>
      </c>
      <c r="D65" s="5" t="s">
        <v>309</v>
      </c>
      <c r="E65" s="5" t="s">
        <v>310</v>
      </c>
      <c r="F65" s="5" t="s">
        <v>23</v>
      </c>
      <c r="G65" s="5" t="s">
        <v>38</v>
      </c>
      <c r="H65" s="5" t="s">
        <v>311</v>
      </c>
      <c r="I65" s="5" t="s">
        <v>26</v>
      </c>
      <c r="J65" s="6" t="s">
        <v>27</v>
      </c>
    </row>
    <row r="66" customFormat="false" ht="23.85" hidden="false" customHeight="false" outlineLevel="0" collapsed="false">
      <c r="A66" s="5" t="s">
        <v>312</v>
      </c>
      <c r="B66" s="5" t="s">
        <v>303</v>
      </c>
      <c r="C66" s="5" t="s">
        <v>313</v>
      </c>
      <c r="D66" s="5" t="s">
        <v>314</v>
      </c>
      <c r="E66" s="5" t="s">
        <v>315</v>
      </c>
      <c r="F66" s="5" t="s">
        <v>23</v>
      </c>
      <c r="G66" s="5" t="s">
        <v>38</v>
      </c>
      <c r="H66" s="5" t="s">
        <v>25</v>
      </c>
      <c r="I66" s="5"/>
      <c r="J66" s="6" t="s">
        <v>27</v>
      </c>
    </row>
    <row r="67" customFormat="false" ht="23.85" hidden="false" customHeight="false" outlineLevel="0" collapsed="false">
      <c r="A67" s="5" t="s">
        <v>316</v>
      </c>
      <c r="B67" s="5" t="s">
        <v>317</v>
      </c>
      <c r="C67" s="5" t="s">
        <v>318</v>
      </c>
      <c r="D67" s="5" t="s">
        <v>319</v>
      </c>
      <c r="E67" s="5" t="s">
        <v>320</v>
      </c>
      <c r="F67" s="5" t="s">
        <v>23</v>
      </c>
      <c r="G67" s="5" t="s">
        <v>38</v>
      </c>
      <c r="H67" s="5" t="s">
        <v>321</v>
      </c>
      <c r="I67" s="5" t="s">
        <v>322</v>
      </c>
      <c r="J67" s="7" t="s">
        <v>40</v>
      </c>
    </row>
    <row r="68" customFormat="false" ht="23.85" hidden="false" customHeight="false" outlineLevel="0" collapsed="false">
      <c r="A68" s="5" t="s">
        <v>323</v>
      </c>
      <c r="B68" s="5" t="s">
        <v>317</v>
      </c>
      <c r="C68" s="5" t="s">
        <v>324</v>
      </c>
      <c r="D68" s="5" t="s">
        <v>325</v>
      </c>
      <c r="E68" s="5" t="s">
        <v>83</v>
      </c>
      <c r="F68" s="5" t="s">
        <v>23</v>
      </c>
      <c r="G68" s="5" t="s">
        <v>38</v>
      </c>
      <c r="H68" s="5" t="s">
        <v>321</v>
      </c>
      <c r="I68" s="5" t="s">
        <v>142</v>
      </c>
      <c r="J68" s="7" t="s">
        <v>40</v>
      </c>
    </row>
    <row r="69" customFormat="false" ht="23.85" hidden="false" customHeight="false" outlineLevel="0" collapsed="false">
      <c r="A69" s="5" t="s">
        <v>326</v>
      </c>
      <c r="B69" s="5" t="s">
        <v>317</v>
      </c>
      <c r="C69" s="5" t="s">
        <v>327</v>
      </c>
      <c r="D69" s="5" t="s">
        <v>328</v>
      </c>
      <c r="E69" s="5" t="s">
        <v>329</v>
      </c>
      <c r="F69" s="5" t="s">
        <v>49</v>
      </c>
      <c r="G69" s="5" t="s">
        <v>38</v>
      </c>
      <c r="H69" s="5" t="s">
        <v>321</v>
      </c>
      <c r="I69" s="5" t="s">
        <v>142</v>
      </c>
      <c r="J69" s="8" t="s">
        <v>197</v>
      </c>
    </row>
    <row r="70" customFormat="false" ht="23.85" hidden="false" customHeight="false" outlineLevel="0" collapsed="false">
      <c r="A70" s="5" t="s">
        <v>330</v>
      </c>
      <c r="B70" s="5" t="s">
        <v>317</v>
      </c>
      <c r="C70" s="5" t="s">
        <v>331</v>
      </c>
      <c r="D70" s="5" t="s">
        <v>332</v>
      </c>
      <c r="E70" s="5" t="s">
        <v>333</v>
      </c>
      <c r="F70" s="5" t="s">
        <v>23</v>
      </c>
      <c r="G70" s="5" t="s">
        <v>38</v>
      </c>
      <c r="H70" s="5" t="s">
        <v>321</v>
      </c>
      <c r="I70" s="5" t="s">
        <v>142</v>
      </c>
      <c r="J70" s="7" t="s">
        <v>40</v>
      </c>
    </row>
    <row r="71" customFormat="false" ht="23.85" hidden="false" customHeight="false" outlineLevel="0" collapsed="false">
      <c r="A71" s="5" t="s">
        <v>334</v>
      </c>
      <c r="B71" s="5" t="s">
        <v>317</v>
      </c>
      <c r="C71" s="5" t="s">
        <v>335</v>
      </c>
      <c r="D71" s="5" t="s">
        <v>336</v>
      </c>
      <c r="E71" s="5" t="s">
        <v>83</v>
      </c>
      <c r="F71" s="5" t="s">
        <v>84</v>
      </c>
      <c r="G71" s="5" t="s">
        <v>38</v>
      </c>
      <c r="H71" s="5" t="s">
        <v>321</v>
      </c>
      <c r="I71" s="5"/>
      <c r="J71" s="6" t="s">
        <v>27</v>
      </c>
    </row>
    <row r="72" customFormat="false" ht="23.85" hidden="false" customHeight="false" outlineLevel="0" collapsed="false">
      <c r="A72" s="5" t="s">
        <v>337</v>
      </c>
      <c r="B72" s="5" t="s">
        <v>317</v>
      </c>
      <c r="C72" s="5" t="s">
        <v>338</v>
      </c>
      <c r="D72" s="5" t="s">
        <v>339</v>
      </c>
      <c r="E72" s="5" t="s">
        <v>340</v>
      </c>
      <c r="F72" s="5" t="s">
        <v>49</v>
      </c>
      <c r="G72" s="5" t="s">
        <v>50</v>
      </c>
      <c r="H72" s="5" t="s">
        <v>341</v>
      </c>
      <c r="I72" s="5" t="s">
        <v>342</v>
      </c>
      <c r="J72" s="8" t="s">
        <v>197</v>
      </c>
    </row>
    <row r="73" customFormat="false" ht="23.85" hidden="false" customHeight="false" outlineLevel="0" collapsed="false">
      <c r="A73" s="5" t="s">
        <v>343</v>
      </c>
      <c r="B73" s="5" t="s">
        <v>317</v>
      </c>
      <c r="C73" s="5" t="s">
        <v>344</v>
      </c>
      <c r="D73" s="5" t="s">
        <v>345</v>
      </c>
      <c r="E73" s="5" t="s">
        <v>346</v>
      </c>
      <c r="F73" s="5" t="s">
        <v>49</v>
      </c>
      <c r="G73" s="5" t="s">
        <v>38</v>
      </c>
      <c r="H73" s="5" t="s">
        <v>85</v>
      </c>
      <c r="I73" s="5" t="s">
        <v>142</v>
      </c>
      <c r="J73" s="7" t="s">
        <v>40</v>
      </c>
    </row>
    <row r="74" customFormat="false" ht="23.85" hidden="false" customHeight="false" outlineLevel="0" collapsed="false">
      <c r="A74" s="5" t="s">
        <v>347</v>
      </c>
      <c r="B74" s="5" t="s">
        <v>317</v>
      </c>
      <c r="C74" s="5" t="s">
        <v>348</v>
      </c>
      <c r="D74" s="5" t="s">
        <v>349</v>
      </c>
      <c r="E74" s="5" t="s">
        <v>346</v>
      </c>
      <c r="F74" s="5" t="s">
        <v>23</v>
      </c>
      <c r="G74" s="5" t="s">
        <v>38</v>
      </c>
      <c r="H74" s="5" t="s">
        <v>85</v>
      </c>
      <c r="I74" s="5" t="s">
        <v>142</v>
      </c>
      <c r="J74" s="7" t="s">
        <v>40</v>
      </c>
    </row>
    <row r="75" customFormat="false" ht="23.85" hidden="false" customHeight="false" outlineLevel="0" collapsed="false">
      <c r="A75" s="5" t="s">
        <v>350</v>
      </c>
      <c r="B75" s="5" t="s">
        <v>317</v>
      </c>
      <c r="C75" s="5" t="s">
        <v>351</v>
      </c>
      <c r="D75" s="5" t="s">
        <v>352</v>
      </c>
      <c r="E75" s="5" t="s">
        <v>353</v>
      </c>
      <c r="F75" s="5" t="s">
        <v>23</v>
      </c>
      <c r="G75" s="5" t="s">
        <v>38</v>
      </c>
      <c r="H75" s="5" t="s">
        <v>85</v>
      </c>
      <c r="I75" s="5" t="s">
        <v>142</v>
      </c>
      <c r="J75" s="8" t="s">
        <v>197</v>
      </c>
    </row>
    <row r="76" customFormat="false" ht="23.85" hidden="false" customHeight="false" outlineLevel="0" collapsed="false">
      <c r="A76" s="5" t="s">
        <v>354</v>
      </c>
      <c r="B76" s="5" t="s">
        <v>317</v>
      </c>
      <c r="C76" s="5" t="s">
        <v>355</v>
      </c>
      <c r="D76" s="5" t="s">
        <v>356</v>
      </c>
      <c r="E76" s="5" t="s">
        <v>357</v>
      </c>
      <c r="F76" s="5" t="s">
        <v>49</v>
      </c>
      <c r="G76" s="5" t="s">
        <v>38</v>
      </c>
      <c r="H76" s="5" t="s">
        <v>85</v>
      </c>
      <c r="I76" s="5" t="s">
        <v>142</v>
      </c>
      <c r="J76" s="8" t="s">
        <v>197</v>
      </c>
    </row>
    <row r="77" customFormat="false" ht="23.85" hidden="false" customHeight="false" outlineLevel="0" collapsed="false">
      <c r="A77" s="5" t="s">
        <v>358</v>
      </c>
      <c r="B77" s="5" t="s">
        <v>317</v>
      </c>
      <c r="C77" s="5" t="s">
        <v>359</v>
      </c>
      <c r="D77" s="5" t="s">
        <v>360</v>
      </c>
      <c r="E77" s="5" t="s">
        <v>83</v>
      </c>
      <c r="F77" s="5" t="s">
        <v>84</v>
      </c>
      <c r="G77" s="5" t="s">
        <v>38</v>
      </c>
      <c r="H77" s="5" t="s">
        <v>85</v>
      </c>
      <c r="I77" s="5" t="s">
        <v>142</v>
      </c>
      <c r="J77" s="7" t="s">
        <v>40</v>
      </c>
    </row>
    <row r="78" customFormat="false" ht="23.85" hidden="false" customHeight="false" outlineLevel="0" collapsed="false">
      <c r="A78" s="5" t="s">
        <v>361</v>
      </c>
      <c r="B78" s="5" t="s">
        <v>317</v>
      </c>
      <c r="C78" s="5" t="s">
        <v>362</v>
      </c>
      <c r="D78" s="5" t="s">
        <v>363</v>
      </c>
      <c r="E78" s="5" t="s">
        <v>83</v>
      </c>
      <c r="F78" s="5" t="s">
        <v>84</v>
      </c>
      <c r="G78" s="5" t="s">
        <v>38</v>
      </c>
      <c r="H78" s="5" t="s">
        <v>25</v>
      </c>
      <c r="I78" s="5"/>
      <c r="J78" s="6" t="s">
        <v>27</v>
      </c>
    </row>
    <row r="79" customFormat="false" ht="15" hidden="false" customHeight="false" outlineLevel="0" collapsed="false">
      <c r="A79" s="5" t="s">
        <v>364</v>
      </c>
      <c r="B79" s="5" t="s">
        <v>317</v>
      </c>
      <c r="C79" s="5" t="s">
        <v>365</v>
      </c>
      <c r="D79" s="5" t="s">
        <v>366</v>
      </c>
      <c r="E79" s="5" t="s">
        <v>367</v>
      </c>
      <c r="F79" s="5" t="s">
        <v>84</v>
      </c>
      <c r="G79" s="5" t="s">
        <v>38</v>
      </c>
      <c r="H79" s="5" t="s">
        <v>25</v>
      </c>
      <c r="I79" s="5"/>
      <c r="J79" s="6" t="s">
        <v>27</v>
      </c>
    </row>
    <row r="80" customFormat="false" ht="23.85" hidden="false" customHeight="false" outlineLevel="0" collapsed="false">
      <c r="A80" s="5" t="s">
        <v>368</v>
      </c>
      <c r="B80" s="5" t="s">
        <v>369</v>
      </c>
      <c r="C80" s="5" t="s">
        <v>370</v>
      </c>
      <c r="D80" s="5" t="s">
        <v>371</v>
      </c>
      <c r="E80" s="5" t="s">
        <v>83</v>
      </c>
      <c r="F80" s="5" t="s">
        <v>84</v>
      </c>
      <c r="G80" s="5" t="s">
        <v>111</v>
      </c>
      <c r="H80" s="5" t="s">
        <v>321</v>
      </c>
      <c r="I80" s="5"/>
      <c r="J80" s="6" t="s">
        <v>27</v>
      </c>
    </row>
    <row r="81" customFormat="false" ht="23.85" hidden="false" customHeight="false" outlineLevel="0" collapsed="false">
      <c r="A81" s="5" t="s">
        <v>372</v>
      </c>
      <c r="B81" s="5" t="s">
        <v>369</v>
      </c>
      <c r="C81" s="5" t="s">
        <v>373</v>
      </c>
      <c r="D81" s="5" t="s">
        <v>374</v>
      </c>
      <c r="E81" s="5" t="s">
        <v>83</v>
      </c>
      <c r="F81" s="5" t="s">
        <v>23</v>
      </c>
      <c r="G81" s="5" t="s">
        <v>38</v>
      </c>
      <c r="H81" s="5" t="s">
        <v>321</v>
      </c>
      <c r="I81" s="5"/>
      <c r="J81" s="6" t="s">
        <v>27</v>
      </c>
    </row>
    <row r="82" customFormat="false" ht="23.85" hidden="false" customHeight="false" outlineLevel="0" collapsed="false">
      <c r="A82" s="5" t="s">
        <v>375</v>
      </c>
      <c r="B82" s="5" t="s">
        <v>369</v>
      </c>
      <c r="C82" s="5" t="s">
        <v>376</v>
      </c>
      <c r="D82" s="5" t="s">
        <v>377</v>
      </c>
      <c r="E82" s="5" t="s">
        <v>378</v>
      </c>
      <c r="F82" s="5" t="s">
        <v>49</v>
      </c>
      <c r="G82" s="5" t="s">
        <v>38</v>
      </c>
      <c r="H82" s="5" t="s">
        <v>321</v>
      </c>
      <c r="I82" s="5" t="s">
        <v>379</v>
      </c>
      <c r="J82" s="8" t="s">
        <v>197</v>
      </c>
    </row>
    <row r="83" customFormat="false" ht="23.85" hidden="false" customHeight="false" outlineLevel="0" collapsed="false">
      <c r="A83" s="5" t="s">
        <v>380</v>
      </c>
      <c r="B83" s="5" t="s">
        <v>369</v>
      </c>
      <c r="C83" s="5" t="s">
        <v>381</v>
      </c>
      <c r="D83" s="5" t="s">
        <v>382</v>
      </c>
      <c r="E83" s="5" t="s">
        <v>383</v>
      </c>
      <c r="F83" s="5" t="s">
        <v>23</v>
      </c>
      <c r="G83" s="5" t="s">
        <v>38</v>
      </c>
      <c r="H83" s="5" t="s">
        <v>321</v>
      </c>
      <c r="I83" s="5" t="s">
        <v>237</v>
      </c>
      <c r="J83" s="7" t="s">
        <v>40</v>
      </c>
    </row>
    <row r="84" customFormat="false" ht="23.85" hidden="false" customHeight="false" outlineLevel="0" collapsed="false">
      <c r="A84" s="5" t="s">
        <v>384</v>
      </c>
      <c r="B84" s="5" t="s">
        <v>369</v>
      </c>
      <c r="C84" s="5" t="s">
        <v>385</v>
      </c>
      <c r="D84" s="5" t="s">
        <v>386</v>
      </c>
      <c r="E84" s="5" t="s">
        <v>83</v>
      </c>
      <c r="F84" s="5" t="s">
        <v>84</v>
      </c>
      <c r="G84" s="5" t="s">
        <v>38</v>
      </c>
      <c r="H84" s="5" t="s">
        <v>321</v>
      </c>
      <c r="I84" s="5"/>
      <c r="J84" s="6" t="s">
        <v>27</v>
      </c>
    </row>
    <row r="85" customFormat="false" ht="23.85" hidden="false" customHeight="false" outlineLevel="0" collapsed="false">
      <c r="A85" s="5" t="s">
        <v>387</v>
      </c>
      <c r="B85" s="5" t="s">
        <v>369</v>
      </c>
      <c r="C85" s="5" t="s">
        <v>388</v>
      </c>
      <c r="D85" s="5" t="s">
        <v>389</v>
      </c>
      <c r="E85" s="5" t="s">
        <v>390</v>
      </c>
      <c r="F85" s="5" t="s">
        <v>84</v>
      </c>
      <c r="G85" s="5" t="s">
        <v>38</v>
      </c>
      <c r="H85" s="5" t="s">
        <v>321</v>
      </c>
      <c r="I85" s="5" t="s">
        <v>237</v>
      </c>
      <c r="J85" s="7" t="s">
        <v>40</v>
      </c>
    </row>
    <row r="86" customFormat="false" ht="23.85" hidden="false" customHeight="false" outlineLevel="0" collapsed="false">
      <c r="A86" s="5" t="s">
        <v>391</v>
      </c>
      <c r="B86" s="5" t="s">
        <v>369</v>
      </c>
      <c r="C86" s="5" t="s">
        <v>392</v>
      </c>
      <c r="D86" s="5" t="s">
        <v>393</v>
      </c>
      <c r="E86" s="5" t="s">
        <v>394</v>
      </c>
      <c r="F86" s="5" t="s">
        <v>23</v>
      </c>
      <c r="G86" s="5" t="s">
        <v>38</v>
      </c>
      <c r="H86" s="5" t="s">
        <v>85</v>
      </c>
      <c r="I86" s="5" t="s">
        <v>395</v>
      </c>
      <c r="J86" s="7" t="s">
        <v>40</v>
      </c>
    </row>
    <row r="87" customFormat="false" ht="23.85" hidden="false" customHeight="false" outlineLevel="0" collapsed="false">
      <c r="A87" s="5" t="s">
        <v>396</v>
      </c>
      <c r="B87" s="5" t="s">
        <v>369</v>
      </c>
      <c r="C87" s="5" t="s">
        <v>397</v>
      </c>
      <c r="D87" s="5" t="s">
        <v>398</v>
      </c>
      <c r="E87" s="5" t="s">
        <v>83</v>
      </c>
      <c r="F87" s="5" t="s">
        <v>23</v>
      </c>
      <c r="G87" s="5" t="s">
        <v>38</v>
      </c>
      <c r="H87" s="5" t="s">
        <v>85</v>
      </c>
      <c r="I87" s="5" t="s">
        <v>237</v>
      </c>
      <c r="J87" s="7" t="s">
        <v>40</v>
      </c>
    </row>
    <row r="88" customFormat="false" ht="23.85" hidden="false" customHeight="false" outlineLevel="0" collapsed="false">
      <c r="A88" s="5" t="s">
        <v>399</v>
      </c>
      <c r="B88" s="5" t="s">
        <v>369</v>
      </c>
      <c r="C88" s="5" t="s">
        <v>400</v>
      </c>
      <c r="D88" s="5" t="s">
        <v>401</v>
      </c>
      <c r="E88" s="5" t="s">
        <v>402</v>
      </c>
      <c r="F88" s="5" t="s">
        <v>49</v>
      </c>
      <c r="G88" s="5" t="s">
        <v>38</v>
      </c>
      <c r="H88" s="5" t="s">
        <v>85</v>
      </c>
      <c r="I88" s="5" t="s">
        <v>142</v>
      </c>
      <c r="J88" s="8" t="s">
        <v>197</v>
      </c>
    </row>
    <row r="89" customFormat="false" ht="15" hidden="false" customHeight="false" outlineLevel="0" collapsed="false">
      <c r="A89" s="5" t="s">
        <v>403</v>
      </c>
      <c r="B89" s="5" t="s">
        <v>369</v>
      </c>
      <c r="C89" s="5" t="s">
        <v>404</v>
      </c>
      <c r="D89" s="5" t="s">
        <v>405</v>
      </c>
      <c r="E89" s="5" t="s">
        <v>83</v>
      </c>
      <c r="F89" s="5" t="s">
        <v>23</v>
      </c>
      <c r="G89" s="5" t="s">
        <v>38</v>
      </c>
      <c r="H89" s="5" t="s">
        <v>85</v>
      </c>
      <c r="I89" s="5" t="s">
        <v>237</v>
      </c>
      <c r="J89" s="7" t="s">
        <v>40</v>
      </c>
    </row>
    <row r="90" customFormat="false" ht="23.85" hidden="false" customHeight="false" outlineLevel="0" collapsed="false">
      <c r="A90" s="5" t="s">
        <v>406</v>
      </c>
      <c r="B90" s="5" t="s">
        <v>407</v>
      </c>
      <c r="C90" s="5" t="s">
        <v>408</v>
      </c>
      <c r="D90" s="5" t="s">
        <v>409</v>
      </c>
      <c r="E90" s="5" t="s">
        <v>410</v>
      </c>
      <c r="F90" s="5" t="s">
        <v>37</v>
      </c>
      <c r="G90" s="5" t="s">
        <v>38</v>
      </c>
      <c r="H90" s="5" t="s">
        <v>321</v>
      </c>
      <c r="I90" s="5" t="s">
        <v>142</v>
      </c>
      <c r="J90" s="7" t="s">
        <v>40</v>
      </c>
    </row>
    <row r="91" customFormat="false" ht="23.85" hidden="false" customHeight="false" outlineLevel="0" collapsed="false">
      <c r="A91" s="5" t="s">
        <v>411</v>
      </c>
      <c r="B91" s="5" t="s">
        <v>407</v>
      </c>
      <c r="C91" s="5" t="s">
        <v>412</v>
      </c>
      <c r="D91" s="5" t="s">
        <v>413</v>
      </c>
      <c r="E91" s="5" t="s">
        <v>340</v>
      </c>
      <c r="F91" s="5" t="s">
        <v>37</v>
      </c>
      <c r="G91" s="5" t="s">
        <v>38</v>
      </c>
      <c r="H91" s="5" t="s">
        <v>321</v>
      </c>
      <c r="I91" s="5" t="s">
        <v>142</v>
      </c>
      <c r="J91" s="7" t="s">
        <v>40</v>
      </c>
    </row>
    <row r="92" customFormat="false" ht="15" hidden="false" customHeight="false" outlineLevel="0" collapsed="false">
      <c r="A92" s="5" t="s">
        <v>414</v>
      </c>
      <c r="B92" s="5" t="s">
        <v>407</v>
      </c>
      <c r="C92" s="5" t="s">
        <v>415</v>
      </c>
      <c r="D92" s="5" t="s">
        <v>416</v>
      </c>
      <c r="E92" s="5" t="s">
        <v>417</v>
      </c>
      <c r="F92" s="5" t="s">
        <v>37</v>
      </c>
      <c r="G92" s="5" t="s">
        <v>38</v>
      </c>
      <c r="H92" s="5" t="s">
        <v>321</v>
      </c>
      <c r="I92" s="5" t="s">
        <v>142</v>
      </c>
      <c r="J92" s="7" t="s">
        <v>40</v>
      </c>
    </row>
    <row r="93" customFormat="false" ht="23.85" hidden="false" customHeight="false" outlineLevel="0" collapsed="false">
      <c r="A93" s="5" t="s">
        <v>418</v>
      </c>
      <c r="B93" s="5" t="s">
        <v>407</v>
      </c>
      <c r="C93" s="5" t="s">
        <v>419</v>
      </c>
      <c r="D93" s="5" t="s">
        <v>420</v>
      </c>
      <c r="E93" s="5" t="s">
        <v>83</v>
      </c>
      <c r="F93" s="5" t="s">
        <v>37</v>
      </c>
      <c r="G93" s="5" t="s">
        <v>38</v>
      </c>
      <c r="H93" s="5" t="s">
        <v>321</v>
      </c>
      <c r="I93" s="5" t="s">
        <v>142</v>
      </c>
      <c r="J93" s="7" t="s">
        <v>40</v>
      </c>
    </row>
    <row r="94" customFormat="false" ht="15" hidden="false" customHeight="false" outlineLevel="0" collapsed="false">
      <c r="A94" s="5" t="s">
        <v>421</v>
      </c>
      <c r="B94" s="5" t="s">
        <v>407</v>
      </c>
      <c r="C94" s="5" t="s">
        <v>422</v>
      </c>
      <c r="D94" s="5" t="s">
        <v>423</v>
      </c>
      <c r="E94" s="5" t="s">
        <v>424</v>
      </c>
      <c r="F94" s="5" t="s">
        <v>37</v>
      </c>
      <c r="G94" s="5" t="s">
        <v>38</v>
      </c>
      <c r="H94" s="5" t="s">
        <v>321</v>
      </c>
      <c r="I94" s="5" t="s">
        <v>142</v>
      </c>
      <c r="J94" s="7" t="s">
        <v>40</v>
      </c>
    </row>
    <row r="95" customFormat="false" ht="23.85" hidden="false" customHeight="false" outlineLevel="0" collapsed="false">
      <c r="A95" s="5" t="s">
        <v>425</v>
      </c>
      <c r="B95" s="5" t="s">
        <v>407</v>
      </c>
      <c r="C95" s="5" t="s">
        <v>426</v>
      </c>
      <c r="D95" s="5" t="s">
        <v>427</v>
      </c>
      <c r="E95" s="5" t="s">
        <v>83</v>
      </c>
      <c r="F95" s="5" t="s">
        <v>37</v>
      </c>
      <c r="G95" s="5" t="s">
        <v>38</v>
      </c>
      <c r="H95" s="5" t="s">
        <v>321</v>
      </c>
      <c r="I95" s="5" t="s">
        <v>142</v>
      </c>
      <c r="J95" s="8" t="s">
        <v>197</v>
      </c>
    </row>
    <row r="96" customFormat="false" ht="23.85" hidden="false" customHeight="false" outlineLevel="0" collapsed="false">
      <c r="A96" s="5" t="s">
        <v>428</v>
      </c>
      <c r="B96" s="5" t="s">
        <v>407</v>
      </c>
      <c r="C96" s="5" t="s">
        <v>429</v>
      </c>
      <c r="D96" s="5" t="s">
        <v>430</v>
      </c>
      <c r="E96" s="5" t="s">
        <v>431</v>
      </c>
      <c r="F96" s="5" t="s">
        <v>37</v>
      </c>
      <c r="G96" s="5" t="s">
        <v>38</v>
      </c>
      <c r="H96" s="5" t="s">
        <v>321</v>
      </c>
      <c r="I96" s="5"/>
      <c r="J96" s="6" t="s">
        <v>27</v>
      </c>
    </row>
    <row r="97" customFormat="false" ht="23.85" hidden="false" customHeight="false" outlineLevel="0" collapsed="false">
      <c r="A97" s="5" t="s">
        <v>432</v>
      </c>
      <c r="B97" s="5" t="s">
        <v>407</v>
      </c>
      <c r="C97" s="5" t="s">
        <v>433</v>
      </c>
      <c r="D97" s="5" t="s">
        <v>434</v>
      </c>
      <c r="E97" s="5" t="s">
        <v>83</v>
      </c>
      <c r="F97" s="5" t="s">
        <v>23</v>
      </c>
      <c r="G97" s="5" t="s">
        <v>38</v>
      </c>
      <c r="H97" s="5" t="s">
        <v>321</v>
      </c>
      <c r="I97" s="5"/>
      <c r="J97" s="6" t="s">
        <v>27</v>
      </c>
    </row>
    <row r="98" customFormat="false" ht="23.85" hidden="false" customHeight="false" outlineLevel="0" collapsed="false">
      <c r="A98" s="5" t="s">
        <v>435</v>
      </c>
      <c r="B98" s="5" t="s">
        <v>407</v>
      </c>
      <c r="C98" s="5" t="s">
        <v>436</v>
      </c>
      <c r="D98" s="5" t="s">
        <v>437</v>
      </c>
      <c r="E98" s="5" t="s">
        <v>83</v>
      </c>
      <c r="F98" s="5" t="s">
        <v>49</v>
      </c>
      <c r="G98" s="5" t="s">
        <v>38</v>
      </c>
      <c r="H98" s="5" t="s">
        <v>321</v>
      </c>
      <c r="I98" s="5" t="s">
        <v>237</v>
      </c>
      <c r="J98" s="7" t="s">
        <v>40</v>
      </c>
    </row>
    <row r="99" customFormat="false" ht="23.85" hidden="false" customHeight="false" outlineLevel="0" collapsed="false">
      <c r="A99" s="5" t="s">
        <v>438</v>
      </c>
      <c r="B99" s="5" t="s">
        <v>407</v>
      </c>
      <c r="C99" s="5" t="s">
        <v>439</v>
      </c>
      <c r="D99" s="5" t="s">
        <v>440</v>
      </c>
      <c r="E99" s="5" t="s">
        <v>83</v>
      </c>
      <c r="F99" s="5" t="s">
        <v>49</v>
      </c>
      <c r="G99" s="5" t="s">
        <v>38</v>
      </c>
      <c r="H99" s="5" t="s">
        <v>321</v>
      </c>
      <c r="I99" s="5"/>
      <c r="J99" s="6" t="s">
        <v>27</v>
      </c>
    </row>
    <row r="100" customFormat="false" ht="23.85" hidden="false" customHeight="false" outlineLevel="0" collapsed="false">
      <c r="A100" s="5" t="s">
        <v>441</v>
      </c>
      <c r="B100" s="5" t="s">
        <v>407</v>
      </c>
      <c r="C100" s="5" t="s">
        <v>442</v>
      </c>
      <c r="D100" s="5" t="s">
        <v>443</v>
      </c>
      <c r="E100" s="5" t="s">
        <v>83</v>
      </c>
      <c r="F100" s="5" t="s">
        <v>37</v>
      </c>
      <c r="G100" s="5" t="s">
        <v>38</v>
      </c>
      <c r="H100" s="5" t="s">
        <v>321</v>
      </c>
      <c r="I100" s="5"/>
      <c r="J100" s="6" t="s">
        <v>27</v>
      </c>
    </row>
    <row r="101" customFormat="false" ht="23.85" hidden="false" customHeight="false" outlineLevel="0" collapsed="false">
      <c r="A101" s="5" t="s">
        <v>444</v>
      </c>
      <c r="B101" s="5" t="s">
        <v>407</v>
      </c>
      <c r="C101" s="5" t="s">
        <v>445</v>
      </c>
      <c r="D101" s="5" t="s">
        <v>446</v>
      </c>
      <c r="E101" s="5" t="s">
        <v>447</v>
      </c>
      <c r="F101" s="5" t="s">
        <v>84</v>
      </c>
      <c r="G101" s="5" t="s">
        <v>38</v>
      </c>
      <c r="H101" s="5" t="s">
        <v>448</v>
      </c>
      <c r="I101" s="5"/>
      <c r="J101" s="6" t="s">
        <v>27</v>
      </c>
    </row>
    <row r="102" customFormat="false" ht="23.85" hidden="false" customHeight="false" outlineLevel="0" collapsed="false">
      <c r="A102" s="5" t="s">
        <v>449</v>
      </c>
      <c r="B102" s="5" t="s">
        <v>407</v>
      </c>
      <c r="C102" s="5" t="s">
        <v>450</v>
      </c>
      <c r="D102" s="5" t="s">
        <v>451</v>
      </c>
      <c r="E102" s="5" t="s">
        <v>452</v>
      </c>
      <c r="F102" s="5" t="s">
        <v>23</v>
      </c>
      <c r="G102" s="5" t="s">
        <v>38</v>
      </c>
      <c r="H102" s="5" t="s">
        <v>311</v>
      </c>
      <c r="I102" s="5"/>
      <c r="J102" s="6" t="s">
        <v>27</v>
      </c>
    </row>
    <row r="103" customFormat="false" ht="23.85" hidden="false" customHeight="false" outlineLevel="0" collapsed="false">
      <c r="A103" s="5" t="s">
        <v>453</v>
      </c>
      <c r="B103" s="5" t="s">
        <v>407</v>
      </c>
      <c r="C103" s="5" t="s">
        <v>454</v>
      </c>
      <c r="D103" s="5" t="s">
        <v>455</v>
      </c>
      <c r="E103" s="5" t="s">
        <v>83</v>
      </c>
      <c r="F103" s="5" t="s">
        <v>84</v>
      </c>
      <c r="G103" s="5" t="s">
        <v>38</v>
      </c>
      <c r="H103" s="5" t="s">
        <v>456</v>
      </c>
      <c r="I103" s="5"/>
      <c r="J103" s="6" t="s">
        <v>27</v>
      </c>
    </row>
    <row r="104" customFormat="false" ht="23.85" hidden="false" customHeight="false" outlineLevel="0" collapsed="false">
      <c r="A104" s="5" t="s">
        <v>457</v>
      </c>
      <c r="B104" s="5" t="s">
        <v>458</v>
      </c>
      <c r="C104" s="5" t="s">
        <v>459</v>
      </c>
      <c r="D104" s="5" t="s">
        <v>460</v>
      </c>
      <c r="E104" s="5" t="s">
        <v>83</v>
      </c>
      <c r="F104" s="5" t="s">
        <v>23</v>
      </c>
      <c r="G104" s="5" t="s">
        <v>38</v>
      </c>
      <c r="H104" s="5" t="s">
        <v>321</v>
      </c>
      <c r="I104" s="5" t="s">
        <v>237</v>
      </c>
      <c r="J104" s="8" t="s">
        <v>197</v>
      </c>
    </row>
    <row r="105" customFormat="false" ht="15" hidden="false" customHeight="false" outlineLevel="0" collapsed="false">
      <c r="A105" s="5" t="s">
        <v>461</v>
      </c>
      <c r="B105" s="5" t="s">
        <v>458</v>
      </c>
      <c r="C105" s="5" t="s">
        <v>462</v>
      </c>
      <c r="D105" s="5" t="s">
        <v>463</v>
      </c>
      <c r="E105" s="5" t="s">
        <v>83</v>
      </c>
      <c r="F105" s="5" t="s">
        <v>49</v>
      </c>
      <c r="G105" s="5" t="s">
        <v>38</v>
      </c>
      <c r="H105" s="5" t="s">
        <v>321</v>
      </c>
      <c r="I105" s="5" t="s">
        <v>237</v>
      </c>
      <c r="J105" s="8" t="s">
        <v>197</v>
      </c>
    </row>
    <row r="106" customFormat="false" ht="23.85" hidden="false" customHeight="false" outlineLevel="0" collapsed="false">
      <c r="A106" s="5" t="s">
        <v>464</v>
      </c>
      <c r="B106" s="5" t="s">
        <v>458</v>
      </c>
      <c r="C106" s="5" t="s">
        <v>465</v>
      </c>
      <c r="D106" s="5" t="s">
        <v>466</v>
      </c>
      <c r="E106" s="5" t="s">
        <v>83</v>
      </c>
      <c r="F106" s="5" t="s">
        <v>23</v>
      </c>
      <c r="G106" s="5" t="s">
        <v>38</v>
      </c>
      <c r="H106" s="5" t="s">
        <v>321</v>
      </c>
      <c r="I106" s="5" t="s">
        <v>237</v>
      </c>
      <c r="J106" s="7" t="s">
        <v>40</v>
      </c>
    </row>
    <row r="107" customFormat="false" ht="23.85" hidden="false" customHeight="false" outlineLevel="0" collapsed="false">
      <c r="A107" s="5" t="s">
        <v>467</v>
      </c>
      <c r="B107" s="5" t="s">
        <v>458</v>
      </c>
      <c r="C107" s="5" t="s">
        <v>468</v>
      </c>
      <c r="D107" s="5" t="s">
        <v>469</v>
      </c>
      <c r="E107" s="5" t="s">
        <v>470</v>
      </c>
      <c r="F107" s="5" t="s">
        <v>84</v>
      </c>
      <c r="G107" s="5" t="s">
        <v>38</v>
      </c>
      <c r="H107" s="5" t="s">
        <v>321</v>
      </c>
      <c r="I107" s="5" t="s">
        <v>237</v>
      </c>
      <c r="J107" s="7" t="s">
        <v>40</v>
      </c>
    </row>
    <row r="108" customFormat="false" ht="23.85" hidden="false" customHeight="false" outlineLevel="0" collapsed="false">
      <c r="A108" s="5" t="s">
        <v>471</v>
      </c>
      <c r="B108" s="5" t="s">
        <v>458</v>
      </c>
      <c r="C108" s="5" t="s">
        <v>472</v>
      </c>
      <c r="D108" s="5" t="s">
        <v>473</v>
      </c>
      <c r="E108" s="5" t="s">
        <v>83</v>
      </c>
      <c r="F108" s="5" t="s">
        <v>37</v>
      </c>
      <c r="G108" s="5" t="s">
        <v>38</v>
      </c>
      <c r="H108" s="5" t="s">
        <v>85</v>
      </c>
      <c r="I108" s="5"/>
      <c r="J108" s="6" t="s">
        <v>27</v>
      </c>
    </row>
    <row r="109" customFormat="false" ht="23.85" hidden="false" customHeight="false" outlineLevel="0" collapsed="false">
      <c r="A109" s="5" t="s">
        <v>474</v>
      </c>
      <c r="B109" s="5" t="s">
        <v>458</v>
      </c>
      <c r="C109" s="5" t="s">
        <v>475</v>
      </c>
      <c r="D109" s="5" t="s">
        <v>476</v>
      </c>
      <c r="E109" s="5" t="s">
        <v>83</v>
      </c>
      <c r="F109" s="5" t="s">
        <v>49</v>
      </c>
      <c r="G109" s="5" t="s">
        <v>38</v>
      </c>
      <c r="H109" s="5" t="s">
        <v>85</v>
      </c>
      <c r="I109" s="5" t="s">
        <v>477</v>
      </c>
      <c r="J109" s="7" t="s">
        <v>40</v>
      </c>
    </row>
    <row r="110" customFormat="false" ht="23.85" hidden="false" customHeight="false" outlineLevel="0" collapsed="false">
      <c r="A110" s="5" t="s">
        <v>478</v>
      </c>
      <c r="B110" s="5" t="s">
        <v>458</v>
      </c>
      <c r="C110" s="5" t="s">
        <v>479</v>
      </c>
      <c r="D110" s="5" t="s">
        <v>480</v>
      </c>
      <c r="E110" s="5" t="s">
        <v>83</v>
      </c>
      <c r="F110" s="5" t="s">
        <v>23</v>
      </c>
      <c r="G110" s="5" t="s">
        <v>38</v>
      </c>
      <c r="H110" s="5" t="s">
        <v>85</v>
      </c>
      <c r="I110" s="5" t="s">
        <v>237</v>
      </c>
      <c r="J110" s="7" t="s">
        <v>40</v>
      </c>
    </row>
    <row r="111" customFormat="false" ht="15" hidden="false" customHeight="false" outlineLevel="0" collapsed="false">
      <c r="A111" s="5" t="s">
        <v>481</v>
      </c>
      <c r="B111" s="5" t="s">
        <v>458</v>
      </c>
      <c r="C111" s="5" t="s">
        <v>482</v>
      </c>
      <c r="D111" s="5" t="s">
        <v>483</v>
      </c>
      <c r="E111" s="5" t="s">
        <v>484</v>
      </c>
      <c r="F111" s="5" t="s">
        <v>37</v>
      </c>
      <c r="G111" s="5" t="s">
        <v>38</v>
      </c>
      <c r="H111" s="5" t="s">
        <v>85</v>
      </c>
      <c r="I111" s="5" t="s">
        <v>485</v>
      </c>
      <c r="J111" s="8" t="s">
        <v>197</v>
      </c>
    </row>
    <row r="112" customFormat="false" ht="23.85" hidden="false" customHeight="false" outlineLevel="0" collapsed="false">
      <c r="A112" s="5" t="s">
        <v>486</v>
      </c>
      <c r="B112" s="5" t="s">
        <v>458</v>
      </c>
      <c r="C112" s="5" t="s">
        <v>487</v>
      </c>
      <c r="D112" s="5" t="s">
        <v>488</v>
      </c>
      <c r="E112" s="5" t="s">
        <v>489</v>
      </c>
      <c r="F112" s="5" t="s">
        <v>37</v>
      </c>
      <c r="G112" s="5" t="s">
        <v>38</v>
      </c>
      <c r="H112" s="5" t="s">
        <v>490</v>
      </c>
      <c r="I112" s="5" t="s">
        <v>485</v>
      </c>
      <c r="J112" s="8" t="s">
        <v>197</v>
      </c>
    </row>
    <row r="113" customFormat="false" ht="23.85" hidden="false" customHeight="false" outlineLevel="0" collapsed="false">
      <c r="A113" s="5" t="s">
        <v>491</v>
      </c>
      <c r="B113" s="5" t="s">
        <v>458</v>
      </c>
      <c r="C113" s="5" t="s">
        <v>492</v>
      </c>
      <c r="D113" s="5" t="s">
        <v>493</v>
      </c>
      <c r="E113" s="5" t="s">
        <v>494</v>
      </c>
      <c r="F113" s="5" t="s">
        <v>49</v>
      </c>
      <c r="G113" s="5" t="s">
        <v>38</v>
      </c>
      <c r="H113" s="5" t="s">
        <v>25</v>
      </c>
      <c r="I113" s="5" t="s">
        <v>237</v>
      </c>
      <c r="J113" s="7" t="s">
        <v>40</v>
      </c>
    </row>
    <row r="114" customFormat="false" ht="15" hidden="false" customHeight="false" outlineLevel="0" collapsed="false">
      <c r="A114" s="5" t="s">
        <v>495</v>
      </c>
      <c r="B114" s="5" t="s">
        <v>458</v>
      </c>
      <c r="C114" s="5" t="s">
        <v>496</v>
      </c>
      <c r="D114" s="5" t="s">
        <v>497</v>
      </c>
      <c r="E114" s="5" t="s">
        <v>83</v>
      </c>
      <c r="F114" s="5" t="s">
        <v>37</v>
      </c>
      <c r="G114" s="5" t="s">
        <v>38</v>
      </c>
      <c r="H114" s="5" t="s">
        <v>85</v>
      </c>
      <c r="I114" s="5" t="s">
        <v>237</v>
      </c>
      <c r="J114" s="7" t="s">
        <v>40</v>
      </c>
    </row>
    <row r="115" customFormat="false" ht="23.85" hidden="false" customHeight="false" outlineLevel="0" collapsed="false">
      <c r="A115" s="5" t="s">
        <v>498</v>
      </c>
      <c r="B115" s="5" t="s">
        <v>458</v>
      </c>
      <c r="C115" s="5" t="s">
        <v>499</v>
      </c>
      <c r="D115" s="5" t="s">
        <v>500</v>
      </c>
      <c r="E115" s="5" t="s">
        <v>501</v>
      </c>
      <c r="F115" s="5" t="s">
        <v>49</v>
      </c>
      <c r="G115" s="5" t="s">
        <v>38</v>
      </c>
      <c r="H115" s="5" t="s">
        <v>85</v>
      </c>
      <c r="I115" s="5" t="s">
        <v>485</v>
      </c>
      <c r="J115" s="8" t="s">
        <v>197</v>
      </c>
    </row>
    <row r="116" customFormat="false" ht="23.85" hidden="false" customHeight="false" outlineLevel="0" collapsed="false">
      <c r="A116" s="5" t="s">
        <v>502</v>
      </c>
      <c r="B116" s="5" t="s">
        <v>458</v>
      </c>
      <c r="C116" s="5" t="s">
        <v>503</v>
      </c>
      <c r="D116" s="5" t="s">
        <v>504</v>
      </c>
      <c r="E116" s="5" t="s">
        <v>83</v>
      </c>
      <c r="F116" s="5" t="s">
        <v>49</v>
      </c>
      <c r="G116" s="5" t="s">
        <v>38</v>
      </c>
      <c r="H116" s="5" t="s">
        <v>85</v>
      </c>
      <c r="I116" s="5" t="s">
        <v>485</v>
      </c>
      <c r="J116" s="8" t="s">
        <v>197</v>
      </c>
    </row>
    <row r="117" customFormat="false" ht="23.85" hidden="false" customHeight="false" outlineLevel="0" collapsed="false">
      <c r="A117" s="5" t="s">
        <v>505</v>
      </c>
      <c r="B117" s="5" t="s">
        <v>458</v>
      </c>
      <c r="C117" s="5" t="s">
        <v>506</v>
      </c>
      <c r="D117" s="5" t="s">
        <v>507</v>
      </c>
      <c r="E117" s="5" t="s">
        <v>83</v>
      </c>
      <c r="F117" s="5" t="s">
        <v>49</v>
      </c>
      <c r="G117" s="5" t="s">
        <v>38</v>
      </c>
      <c r="H117" s="5" t="s">
        <v>85</v>
      </c>
      <c r="I117" s="5" t="s">
        <v>508</v>
      </c>
      <c r="J117" s="8" t="s">
        <v>197</v>
      </c>
    </row>
    <row r="118" customFormat="false" ht="23.85" hidden="false" customHeight="false" outlineLevel="0" collapsed="false">
      <c r="A118" s="5" t="s">
        <v>509</v>
      </c>
      <c r="B118" s="5" t="s">
        <v>458</v>
      </c>
      <c r="C118" s="5" t="s">
        <v>510</v>
      </c>
      <c r="D118" s="5" t="s">
        <v>511</v>
      </c>
      <c r="E118" s="5" t="s">
        <v>512</v>
      </c>
      <c r="F118" s="5" t="s">
        <v>37</v>
      </c>
      <c r="G118" s="5" t="s">
        <v>38</v>
      </c>
      <c r="H118" s="5" t="s">
        <v>85</v>
      </c>
      <c r="I118" s="5" t="s">
        <v>485</v>
      </c>
      <c r="J118" s="8" t="s">
        <v>197</v>
      </c>
    </row>
    <row r="119" customFormat="false" ht="23.85" hidden="false" customHeight="false" outlineLevel="0" collapsed="false">
      <c r="A119" s="5" t="s">
        <v>513</v>
      </c>
      <c r="B119" s="5" t="s">
        <v>514</v>
      </c>
      <c r="C119" s="5" t="s">
        <v>515</v>
      </c>
      <c r="D119" s="5" t="s">
        <v>516</v>
      </c>
      <c r="E119" s="5" t="s">
        <v>517</v>
      </c>
      <c r="F119" s="5" t="s">
        <v>23</v>
      </c>
      <c r="G119" s="5" t="s">
        <v>38</v>
      </c>
      <c r="H119" s="5" t="s">
        <v>518</v>
      </c>
      <c r="I119" s="5"/>
      <c r="J119" s="6" t="s">
        <v>27</v>
      </c>
    </row>
    <row r="120" customFormat="false" ht="23.85" hidden="false" customHeight="false" outlineLevel="0" collapsed="false">
      <c r="A120" s="5" t="s">
        <v>519</v>
      </c>
      <c r="B120" s="5" t="s">
        <v>514</v>
      </c>
      <c r="C120" s="5" t="s">
        <v>520</v>
      </c>
      <c r="D120" s="5" t="s">
        <v>521</v>
      </c>
      <c r="E120" s="5" t="s">
        <v>522</v>
      </c>
      <c r="F120" s="5" t="s">
        <v>37</v>
      </c>
      <c r="G120" s="5" t="s">
        <v>38</v>
      </c>
      <c r="H120" s="5" t="s">
        <v>25</v>
      </c>
      <c r="I120" s="5" t="s">
        <v>154</v>
      </c>
      <c r="J120" s="7" t="s">
        <v>40</v>
      </c>
    </row>
    <row r="121" customFormat="false" ht="23.85" hidden="false" customHeight="false" outlineLevel="0" collapsed="false">
      <c r="A121" s="5" t="s">
        <v>523</v>
      </c>
      <c r="B121" s="5" t="s">
        <v>514</v>
      </c>
      <c r="C121" s="5" t="s">
        <v>524</v>
      </c>
      <c r="D121" s="5" t="s">
        <v>525</v>
      </c>
      <c r="E121" s="5" t="s">
        <v>83</v>
      </c>
      <c r="F121" s="5" t="s">
        <v>37</v>
      </c>
      <c r="G121" s="5" t="s">
        <v>38</v>
      </c>
      <c r="H121" s="5" t="s">
        <v>147</v>
      </c>
      <c r="I121" s="5" t="s">
        <v>526</v>
      </c>
      <c r="J121" s="7" t="s">
        <v>40</v>
      </c>
    </row>
    <row r="122" customFormat="false" ht="23.85" hidden="false" customHeight="false" outlineLevel="0" collapsed="false">
      <c r="A122" s="5" t="s">
        <v>527</v>
      </c>
      <c r="B122" s="5" t="s">
        <v>528</v>
      </c>
      <c r="C122" s="5" t="s">
        <v>529</v>
      </c>
      <c r="D122" s="5" t="s">
        <v>530</v>
      </c>
      <c r="E122" s="5" t="s">
        <v>531</v>
      </c>
      <c r="F122" s="5" t="s">
        <v>37</v>
      </c>
      <c r="G122" s="5" t="s">
        <v>24</v>
      </c>
      <c r="H122" s="5" t="s">
        <v>532</v>
      </c>
      <c r="I122" s="5" t="s">
        <v>533</v>
      </c>
      <c r="J122" s="8" t="s">
        <v>197</v>
      </c>
    </row>
    <row r="123" customFormat="false" ht="23.85" hidden="false" customHeight="false" outlineLevel="0" collapsed="false">
      <c r="A123" s="5" t="s">
        <v>534</v>
      </c>
      <c r="B123" s="5" t="s">
        <v>528</v>
      </c>
      <c r="C123" s="5" t="s">
        <v>535</v>
      </c>
      <c r="D123" s="5" t="s">
        <v>536</v>
      </c>
      <c r="E123" s="5" t="s">
        <v>537</v>
      </c>
      <c r="F123" s="5" t="s">
        <v>37</v>
      </c>
      <c r="G123" s="5" t="s">
        <v>24</v>
      </c>
      <c r="H123" s="5" t="s">
        <v>532</v>
      </c>
      <c r="I123" s="5" t="s">
        <v>538</v>
      </c>
      <c r="J123" s="8" t="s">
        <v>197</v>
      </c>
    </row>
    <row r="124" customFormat="false" ht="23.85" hidden="false" customHeight="false" outlineLevel="0" collapsed="false">
      <c r="A124" s="5" t="s">
        <v>539</v>
      </c>
      <c r="B124" s="5" t="s">
        <v>528</v>
      </c>
      <c r="C124" s="5" t="s">
        <v>540</v>
      </c>
      <c r="D124" s="5" t="s">
        <v>541</v>
      </c>
      <c r="E124" s="5" t="s">
        <v>83</v>
      </c>
      <c r="F124" s="5" t="s">
        <v>37</v>
      </c>
      <c r="G124" s="5" t="s">
        <v>38</v>
      </c>
      <c r="H124" s="5" t="s">
        <v>532</v>
      </c>
      <c r="I124" s="5" t="s">
        <v>154</v>
      </c>
      <c r="J124" s="8" t="s">
        <v>197</v>
      </c>
    </row>
    <row r="125" customFormat="false" ht="23.85" hidden="false" customHeight="false" outlineLevel="0" collapsed="false">
      <c r="A125" s="5" t="s">
        <v>542</v>
      </c>
      <c r="B125" s="5" t="s">
        <v>528</v>
      </c>
      <c r="C125" s="5" t="s">
        <v>543</v>
      </c>
      <c r="D125" s="5" t="s">
        <v>544</v>
      </c>
      <c r="E125" s="5" t="s">
        <v>545</v>
      </c>
      <c r="F125" s="5" t="s">
        <v>84</v>
      </c>
      <c r="G125" s="5" t="s">
        <v>50</v>
      </c>
      <c r="H125" s="5" t="s">
        <v>532</v>
      </c>
      <c r="I125" s="5" t="s">
        <v>538</v>
      </c>
      <c r="J125" s="8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95"/>
  </cols>
  <sheetData>
    <row r="1" customFormat="false" ht="30" hidden="false" customHeight="true" outlineLevel="0" collapsed="false">
      <c r="A1" s="4" t="s">
        <v>9</v>
      </c>
      <c r="B1" s="4" t="s">
        <v>546</v>
      </c>
      <c r="C1" s="4" t="s">
        <v>547</v>
      </c>
    </row>
    <row r="2" customFormat="false" ht="15" hidden="false" customHeight="false" outlineLevel="0" collapsed="false">
      <c r="A2" s="5" t="s">
        <v>19</v>
      </c>
      <c r="B2" s="9" t="n">
        <f aca="false">COUNTIF('Master Outcomes'!B:B,"1. Direct Research Artifacts")</f>
        <v>5</v>
      </c>
      <c r="C2" s="5" t="s">
        <v>548</v>
      </c>
    </row>
    <row r="3" customFormat="false" ht="15" hidden="false" customHeight="false" outlineLevel="0" collapsed="false">
      <c r="A3" s="5" t="s">
        <v>53</v>
      </c>
      <c r="B3" s="9" t="n">
        <f aca="false">COUNTIF('Master Outcomes'!B:B,"2. Commercial Products &amp; Revenue")</f>
        <v>24</v>
      </c>
      <c r="C3" s="5" t="s">
        <v>549</v>
      </c>
    </row>
    <row r="4" customFormat="false" ht="15" hidden="false" customHeight="false" outlineLevel="0" collapsed="false">
      <c r="A4" s="5" t="s">
        <v>162</v>
      </c>
      <c r="B4" s="9" t="n">
        <f aca="false">COUNTIF('Master Outcomes'!B:B,"3. Standards &amp; Schema")</f>
        <v>5</v>
      </c>
      <c r="C4" s="5" t="s">
        <v>550</v>
      </c>
    </row>
    <row r="5" customFormat="false" ht="15" hidden="false" customHeight="false" outlineLevel="0" collapsed="false">
      <c r="A5" s="5" t="s">
        <v>185</v>
      </c>
      <c r="B5" s="9" t="n">
        <f aca="false">COUNTIF('Master Outcomes'!B:B,"4. Legal &amp; Evidentiary")</f>
        <v>10</v>
      </c>
      <c r="C5" s="5" t="s">
        <v>551</v>
      </c>
    </row>
    <row r="6" customFormat="false" ht="15" hidden="false" customHeight="false" outlineLevel="0" collapsed="false">
      <c r="A6" s="5" t="s">
        <v>226</v>
      </c>
      <c r="B6" s="9" t="n">
        <f aca="false">COUNTIF('Master Outcomes'!B:B,"5. Regulatory &amp; Policy")</f>
        <v>8</v>
      </c>
      <c r="C6" s="5" t="s">
        <v>552</v>
      </c>
    </row>
    <row r="7" customFormat="false" ht="15" hidden="false" customHeight="false" outlineLevel="0" collapsed="false">
      <c r="A7" s="5" t="s">
        <v>260</v>
      </c>
      <c r="B7" s="9" t="n">
        <f aca="false">COUNTIF('Master Outcomes'!B:B,"6. Insurance &amp; Actuarial")</f>
        <v>5</v>
      </c>
      <c r="C7" s="5" t="s">
        <v>553</v>
      </c>
    </row>
    <row r="8" customFormat="false" ht="23.85" hidden="false" customHeight="false" outlineLevel="0" collapsed="false">
      <c r="A8" s="5" t="s">
        <v>282</v>
      </c>
      <c r="B8" s="9" t="n">
        <f aca="false">COUNTIF('Master Outcomes'!B:B,"7. Frontier Model &amp; Technical")</f>
        <v>5</v>
      </c>
      <c r="C8" s="5" t="s">
        <v>554</v>
      </c>
    </row>
    <row r="9" customFormat="false" ht="15" hidden="false" customHeight="false" outlineLevel="0" collapsed="false">
      <c r="A9" s="5" t="s">
        <v>303</v>
      </c>
      <c r="B9" s="9" t="n">
        <f aca="false">COUNTIF('Master Outcomes'!B:B,"8. Early Warning &amp; Epidemiology")</f>
        <v>3</v>
      </c>
      <c r="C9" s="5" t="s">
        <v>555</v>
      </c>
    </row>
    <row r="10" customFormat="false" ht="15" hidden="false" customHeight="false" outlineLevel="0" collapsed="false">
      <c r="A10" s="5" t="s">
        <v>317</v>
      </c>
      <c r="B10" s="9" t="n">
        <f aca="false">COUNTIF('Master Outcomes'!B:B,"9. Human Wellbeing")</f>
        <v>13</v>
      </c>
      <c r="C10" s="5" t="s">
        <v>556</v>
      </c>
    </row>
    <row r="11" customFormat="false" ht="15" hidden="false" customHeight="false" outlineLevel="0" collapsed="false">
      <c r="A11" s="5" t="s">
        <v>369</v>
      </c>
      <c r="B11" s="9" t="n">
        <f aca="false">COUNTIF('Master Outcomes'!B:B,"10. Workforce &amp; Economy")</f>
        <v>10</v>
      </c>
      <c r="C11" s="5" t="s">
        <v>557</v>
      </c>
    </row>
    <row r="12" customFormat="false" ht="23.85" hidden="false" customHeight="false" outlineLevel="0" collapsed="false">
      <c r="A12" s="5" t="s">
        <v>407</v>
      </c>
      <c r="B12" s="9" t="n">
        <f aca="false">COUNTIF('Master Outcomes'!B:B,"11. Science, Medicine &amp; Planet")</f>
        <v>14</v>
      </c>
      <c r="C12" s="5" t="s">
        <v>558</v>
      </c>
    </row>
    <row r="13" customFormat="false" ht="23.85" hidden="false" customHeight="false" outlineLevel="0" collapsed="false">
      <c r="A13" s="5" t="s">
        <v>458</v>
      </c>
      <c r="B13" s="9" t="n">
        <f aca="false">COUNTIF('Master Outcomes'!B:B,"12. Civic, Global &amp; Geopolitical")</f>
        <v>15</v>
      </c>
      <c r="C13" s="5" t="s">
        <v>559</v>
      </c>
    </row>
    <row r="14" customFormat="false" ht="15" hidden="false" customHeight="false" outlineLevel="0" collapsed="false">
      <c r="A14" s="5" t="s">
        <v>514</v>
      </c>
      <c r="B14" s="9" t="n">
        <f aca="false">COUNTIF('Master Outcomes'!B:B,"13. Civilizational &amp; Meta")</f>
        <v>3</v>
      </c>
      <c r="C14" s="5" t="s">
        <v>560</v>
      </c>
    </row>
    <row r="15" customFormat="false" ht="15" hidden="false" customHeight="false" outlineLevel="0" collapsed="false">
      <c r="A15" s="5" t="s">
        <v>528</v>
      </c>
      <c r="B15" s="9" t="n">
        <f aca="false">COUNTIF('Master Outcomes'!B:B,"14. Negative &amp; Dual-Use")</f>
        <v>4</v>
      </c>
      <c r="C15" s="5" t="s">
        <v>561</v>
      </c>
    </row>
    <row r="16" customFormat="false" ht="15" hidden="false" customHeight="false" outlineLevel="0" collapsed="false">
      <c r="A16" s="10" t="s">
        <v>562</v>
      </c>
      <c r="B16" s="11" t="n">
        <f aca="false">SUM(B2:B15)</f>
        <v>124</v>
      </c>
      <c r="C16" s="10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2" t="s">
        <v>564</v>
      </c>
    </row>
    <row r="2" customFormat="false" ht="15" hidden="false" customHeight="false" outlineLevel="0" collapsed="false">
      <c r="A2" s="13" t="s">
        <v>27</v>
      </c>
      <c r="B2" s="14" t="s">
        <v>565</v>
      </c>
    </row>
    <row r="3" customFormat="false" ht="23.85" hidden="false" customHeight="false" outlineLevel="0" collapsed="false">
      <c r="A3" s="13" t="s">
        <v>40</v>
      </c>
      <c r="B3" s="14" t="s">
        <v>566</v>
      </c>
    </row>
    <row r="4" customFormat="false" ht="23.85" hidden="false" customHeight="false" outlineLevel="0" collapsed="false">
      <c r="A4" s="13" t="s">
        <v>197</v>
      </c>
      <c r="B4" s="14" t="s">
        <v>567</v>
      </c>
    </row>
    <row r="6" customFormat="false" ht="15" hidden="false" customHeight="false" outlineLevel="0" collapsed="false">
      <c r="A6" s="12" t="s">
        <v>568</v>
      </c>
    </row>
    <row r="7" customFormat="false" ht="15" hidden="false" customHeight="false" outlineLevel="0" collapsed="false">
      <c r="A7" s="13" t="s">
        <v>569</v>
      </c>
      <c r="B7" s="14" t="s">
        <v>570</v>
      </c>
    </row>
    <row r="8" customFormat="false" ht="15" hidden="false" customHeight="false" outlineLevel="0" collapsed="false">
      <c r="A8" s="13" t="s">
        <v>571</v>
      </c>
      <c r="B8" s="14" t="s">
        <v>572</v>
      </c>
    </row>
    <row r="9" customFormat="false" ht="15" hidden="false" customHeight="false" outlineLevel="0" collapsed="false">
      <c r="A9" s="13" t="s">
        <v>573</v>
      </c>
      <c r="B9" s="14" t="s">
        <v>574</v>
      </c>
    </row>
    <row r="10" customFormat="false" ht="15" hidden="false" customHeight="false" outlineLevel="0" collapsed="false">
      <c r="A10" s="13" t="s">
        <v>575</v>
      </c>
      <c r="B10" s="14" t="s">
        <v>576</v>
      </c>
    </row>
    <row r="11" customFormat="false" ht="15" hidden="false" customHeight="false" outlineLevel="0" collapsed="false">
      <c r="A11" s="13" t="s">
        <v>577</v>
      </c>
      <c r="B11" s="14" t="s">
        <v>578</v>
      </c>
    </row>
    <row r="12" customFormat="false" ht="15" hidden="false" customHeight="false" outlineLevel="0" collapsed="false">
      <c r="A12" s="13" t="s">
        <v>579</v>
      </c>
      <c r="B12" s="14" t="s">
        <v>580</v>
      </c>
    </row>
    <row r="13" customFormat="false" ht="15" hidden="false" customHeight="false" outlineLevel="0" collapsed="false">
      <c r="A13" s="13" t="s">
        <v>581</v>
      </c>
      <c r="B13" s="14" t="s">
        <v>582</v>
      </c>
    </row>
    <row r="15" customFormat="false" ht="15" hidden="false" customHeight="false" outlineLevel="0" collapsed="false">
      <c r="A15" s="12" t="s">
        <v>583</v>
      </c>
    </row>
    <row r="16" customFormat="false" ht="15" hidden="false" customHeight="false" outlineLevel="0" collapsed="false">
      <c r="A16" s="13" t="s">
        <v>24</v>
      </c>
      <c r="B16" s="14" t="s">
        <v>584</v>
      </c>
    </row>
    <row r="17" customFormat="false" ht="15" hidden="false" customHeight="false" outlineLevel="0" collapsed="false">
      <c r="A17" s="13" t="s">
        <v>50</v>
      </c>
      <c r="B17" s="14" t="s">
        <v>585</v>
      </c>
    </row>
    <row r="18" customFormat="false" ht="15" hidden="false" customHeight="false" outlineLevel="0" collapsed="false">
      <c r="A18" s="13" t="s">
        <v>38</v>
      </c>
      <c r="B18" s="14" t="s">
        <v>586</v>
      </c>
    </row>
    <row r="20" customFormat="false" ht="15" hidden="false" customHeight="false" outlineLevel="0" collapsed="false">
      <c r="A20" s="12" t="s">
        <v>587</v>
      </c>
    </row>
    <row r="21" customFormat="false" ht="15" hidden="false" customHeight="false" outlineLevel="0" collapsed="false">
      <c r="A21" s="13" t="s">
        <v>49</v>
      </c>
      <c r="B21" s="14" t="s">
        <v>588</v>
      </c>
    </row>
    <row r="22" customFormat="false" ht="15" hidden="false" customHeight="false" outlineLevel="0" collapsed="false">
      <c r="A22" s="13" t="s">
        <v>84</v>
      </c>
      <c r="B22" s="14" t="s">
        <v>589</v>
      </c>
    </row>
    <row r="23" customFormat="false" ht="15" hidden="false" customHeight="false" outlineLevel="0" collapsed="false">
      <c r="A23" s="13" t="s">
        <v>23</v>
      </c>
      <c r="B23" s="14" t="s">
        <v>590</v>
      </c>
    </row>
    <row r="24" customFormat="false" ht="15" hidden="false" customHeight="false" outlineLevel="0" collapsed="false">
      <c r="A24" s="13" t="s">
        <v>37</v>
      </c>
      <c r="B24" s="14" t="s">
        <v>591</v>
      </c>
    </row>
    <row r="26" customFormat="false" ht="15" hidden="false" customHeight="false" outlineLevel="0" collapsed="false">
      <c r="A26" s="12" t="s">
        <v>592</v>
      </c>
    </row>
    <row r="27" customFormat="false" ht="15" hidden="false" customHeight="false" outlineLevel="0" collapsed="false">
      <c r="A27" s="13" t="s">
        <v>32</v>
      </c>
      <c r="B27" s="14" t="s">
        <v>593</v>
      </c>
    </row>
    <row r="28" customFormat="false" ht="15" hidden="false" customHeight="false" outlineLevel="0" collapsed="false">
      <c r="A28" s="13" t="s">
        <v>25</v>
      </c>
      <c r="B28" s="14" t="s">
        <v>594</v>
      </c>
    </row>
    <row r="29" customFormat="false" ht="15" hidden="false" customHeight="false" outlineLevel="0" collapsed="false">
      <c r="A29" s="13" t="s">
        <v>321</v>
      </c>
      <c r="B29" s="14" t="s">
        <v>595</v>
      </c>
    </row>
    <row r="30" customFormat="false" ht="15" hidden="false" customHeight="false" outlineLevel="0" collapsed="false">
      <c r="A30" s="13" t="s">
        <v>85</v>
      </c>
      <c r="B30" s="14" t="s">
        <v>596</v>
      </c>
    </row>
    <row r="31" customFormat="false" ht="15" hidden="false" customHeight="false" outlineLevel="0" collapsed="false">
      <c r="A31" s="13" t="s">
        <v>597</v>
      </c>
      <c r="B31" s="14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70"/>
    <col collapsed="false" customWidth="true" hidden="false" outlineLevel="0" max="4" min="4" style="0" width="42"/>
  </cols>
  <sheetData>
    <row r="1" customFormat="false" ht="30" hidden="false" customHeight="true" outlineLevel="0" collapsed="false">
      <c r="A1" s="4" t="s">
        <v>8</v>
      </c>
      <c r="B1" s="4" t="s">
        <v>599</v>
      </c>
      <c r="C1" s="4" t="s">
        <v>600</v>
      </c>
      <c r="D1" s="4" t="s">
        <v>601</v>
      </c>
    </row>
    <row r="2" customFormat="false" ht="35.05" hidden="false" customHeight="false" outlineLevel="0" collapsed="false">
      <c r="A2" s="5" t="s">
        <v>602</v>
      </c>
      <c r="B2" s="5" t="s">
        <v>603</v>
      </c>
      <c r="C2" s="5" t="s">
        <v>604</v>
      </c>
      <c r="D2" s="5" t="s">
        <v>605</v>
      </c>
    </row>
    <row r="3" customFormat="false" ht="23.85" hidden="false" customHeight="false" outlineLevel="0" collapsed="false">
      <c r="A3" s="5" t="s">
        <v>606</v>
      </c>
      <c r="B3" s="5" t="s">
        <v>607</v>
      </c>
      <c r="C3" s="5" t="s">
        <v>608</v>
      </c>
      <c r="D3" s="5" t="s">
        <v>106</v>
      </c>
    </row>
    <row r="4" customFormat="false" ht="23.85" hidden="false" customHeight="false" outlineLevel="0" collapsed="false">
      <c r="A4" s="5" t="s">
        <v>609</v>
      </c>
      <c r="B4" s="5" t="s">
        <v>610</v>
      </c>
      <c r="C4" s="5" t="s">
        <v>611</v>
      </c>
      <c r="D4" s="5" t="s">
        <v>612</v>
      </c>
    </row>
    <row r="5" customFormat="false" ht="23.85" hidden="false" customHeight="false" outlineLevel="0" collapsed="false">
      <c r="A5" s="5" t="s">
        <v>613</v>
      </c>
      <c r="B5" s="5" t="s">
        <v>614</v>
      </c>
      <c r="C5" s="5" t="s">
        <v>615</v>
      </c>
      <c r="D5" s="5" t="s">
        <v>616</v>
      </c>
    </row>
    <row r="6" customFormat="false" ht="23.85" hidden="false" customHeight="false" outlineLevel="0" collapsed="false">
      <c r="A6" s="5" t="s">
        <v>617</v>
      </c>
      <c r="B6" s="5" t="s">
        <v>618</v>
      </c>
      <c r="C6" s="5" t="s">
        <v>619</v>
      </c>
      <c r="D6" s="5" t="s">
        <v>620</v>
      </c>
    </row>
    <row r="7" customFormat="false" ht="23.85" hidden="false" customHeight="false" outlineLevel="0" collapsed="false">
      <c r="A7" s="5" t="s">
        <v>621</v>
      </c>
      <c r="B7" s="5" t="s">
        <v>622</v>
      </c>
      <c r="C7" s="5" t="s">
        <v>623</v>
      </c>
      <c r="D7" s="5" t="s">
        <v>624</v>
      </c>
    </row>
    <row r="8" customFormat="false" ht="23.85" hidden="false" customHeight="false" outlineLevel="0" collapsed="false">
      <c r="A8" s="5" t="s">
        <v>625</v>
      </c>
      <c r="B8" s="5" t="s">
        <v>626</v>
      </c>
      <c r="C8" s="5" t="s">
        <v>627</v>
      </c>
      <c r="D8" s="5" t="s">
        <v>628</v>
      </c>
    </row>
    <row r="9" customFormat="false" ht="23.85" hidden="false" customHeight="false" outlineLevel="0" collapsed="false">
      <c r="A9" s="5" t="s">
        <v>629</v>
      </c>
      <c r="B9" s="5" t="s">
        <v>630</v>
      </c>
      <c r="C9" s="5" t="s">
        <v>631</v>
      </c>
      <c r="D9" s="5" t="s">
        <v>632</v>
      </c>
    </row>
    <row r="10" customFormat="false" ht="23.85" hidden="false" customHeight="false" outlineLevel="0" collapsed="false">
      <c r="A10" s="5" t="s">
        <v>633</v>
      </c>
      <c r="B10" s="5" t="s">
        <v>634</v>
      </c>
      <c r="C10" s="5" t="s">
        <v>635</v>
      </c>
      <c r="D10" s="5" t="s">
        <v>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70"/>
  </cols>
  <sheetData>
    <row r="1" customFormat="false" ht="30" hidden="false" customHeight="true" outlineLevel="0" collapsed="false">
      <c r="A1" s="4" t="s">
        <v>8</v>
      </c>
      <c r="B1" s="4" t="s">
        <v>637</v>
      </c>
      <c r="C1" s="4" t="s">
        <v>638</v>
      </c>
    </row>
    <row r="2" customFormat="false" ht="23.85" hidden="false" customHeight="false" outlineLevel="0" collapsed="false">
      <c r="A2" s="5" t="s">
        <v>639</v>
      </c>
      <c r="B2" s="5" t="s">
        <v>640</v>
      </c>
      <c r="C2" s="5" t="s">
        <v>641</v>
      </c>
    </row>
    <row r="3" customFormat="false" ht="23.85" hidden="false" customHeight="false" outlineLevel="0" collapsed="false">
      <c r="A3" s="5" t="s">
        <v>642</v>
      </c>
      <c r="B3" s="5" t="s">
        <v>643</v>
      </c>
      <c r="C3" s="5" t="s">
        <v>644</v>
      </c>
    </row>
    <row r="4" customFormat="false" ht="23.85" hidden="false" customHeight="false" outlineLevel="0" collapsed="false">
      <c r="A4" s="5" t="s">
        <v>645</v>
      </c>
      <c r="B4" s="5" t="s">
        <v>646</v>
      </c>
      <c r="C4" s="5" t="s">
        <v>647</v>
      </c>
    </row>
    <row r="5" customFormat="false" ht="23.85" hidden="false" customHeight="false" outlineLevel="0" collapsed="false">
      <c r="A5" s="5" t="s">
        <v>648</v>
      </c>
      <c r="B5" s="5" t="s">
        <v>649</v>
      </c>
      <c r="C5" s="5" t="s">
        <v>650</v>
      </c>
    </row>
    <row r="6" customFormat="false" ht="23.85" hidden="false" customHeight="false" outlineLevel="0" collapsed="false">
      <c r="A6" s="5" t="s">
        <v>651</v>
      </c>
      <c r="B6" s="5" t="s">
        <v>652</v>
      </c>
      <c r="C6" s="5" t="s">
        <v>653</v>
      </c>
    </row>
    <row r="7" customFormat="false" ht="23.85" hidden="false" customHeight="false" outlineLevel="0" collapsed="false">
      <c r="A7" s="5" t="s">
        <v>654</v>
      </c>
      <c r="B7" s="5" t="s">
        <v>655</v>
      </c>
      <c r="C7" s="5" t="s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66"/>
    <col collapsed="false" customWidth="true" hidden="false" outlineLevel="0" max="4" min="4" style="0" width="46"/>
  </cols>
  <sheetData>
    <row r="1" customFormat="false" ht="30" hidden="false" customHeight="true" outlineLevel="0" collapsed="false">
      <c r="A1" s="4" t="s">
        <v>8</v>
      </c>
      <c r="B1" s="4" t="s">
        <v>657</v>
      </c>
      <c r="C1" s="4" t="s">
        <v>658</v>
      </c>
      <c r="D1" s="4" t="s">
        <v>659</v>
      </c>
    </row>
    <row r="2" customFormat="false" ht="23.85" hidden="false" customHeight="false" outlineLevel="0" collapsed="false">
      <c r="A2" s="5" t="s">
        <v>660</v>
      </c>
      <c r="B2" s="5" t="s">
        <v>661</v>
      </c>
      <c r="C2" s="5" t="s">
        <v>662</v>
      </c>
      <c r="D2" s="5" t="s">
        <v>663</v>
      </c>
    </row>
    <row r="3" customFormat="false" ht="23.85" hidden="false" customHeight="false" outlineLevel="0" collapsed="false">
      <c r="A3" s="5" t="s">
        <v>664</v>
      </c>
      <c r="B3" s="5" t="s">
        <v>665</v>
      </c>
      <c r="C3" s="5" t="s">
        <v>666</v>
      </c>
      <c r="D3" s="5" t="s">
        <v>667</v>
      </c>
    </row>
    <row r="4" customFormat="false" ht="23.85" hidden="false" customHeight="false" outlineLevel="0" collapsed="false">
      <c r="A4" s="5" t="s">
        <v>668</v>
      </c>
      <c r="B4" s="5" t="s">
        <v>669</v>
      </c>
      <c r="C4" s="5" t="s">
        <v>670</v>
      </c>
      <c r="D4" s="5" t="s">
        <v>671</v>
      </c>
    </row>
    <row r="5" customFormat="false" ht="23.85" hidden="false" customHeight="false" outlineLevel="0" collapsed="false">
      <c r="A5" s="5" t="s">
        <v>672</v>
      </c>
      <c r="B5" s="5" t="s">
        <v>673</v>
      </c>
      <c r="C5" s="5" t="s">
        <v>674</v>
      </c>
      <c r="D5" s="5" t="s">
        <v>675</v>
      </c>
    </row>
    <row r="6" customFormat="false" ht="23.85" hidden="false" customHeight="false" outlineLevel="0" collapsed="false">
      <c r="A6" s="5" t="s">
        <v>676</v>
      </c>
      <c r="B6" s="5" t="s">
        <v>677</v>
      </c>
      <c r="C6" s="5" t="s">
        <v>678</v>
      </c>
      <c r="D6" s="5" t="s">
        <v>679</v>
      </c>
    </row>
    <row r="7" customFormat="false" ht="23.85" hidden="false" customHeight="false" outlineLevel="0" collapsed="false">
      <c r="A7" s="5" t="s">
        <v>680</v>
      </c>
      <c r="B7" s="5" t="s">
        <v>681</v>
      </c>
      <c r="C7" s="5" t="s">
        <v>682</v>
      </c>
      <c r="D7" s="5" t="s">
        <v>683</v>
      </c>
    </row>
    <row r="8" customFormat="false" ht="15" hidden="false" customHeight="false" outlineLevel="0" collapsed="false">
      <c r="A8" s="5" t="s">
        <v>684</v>
      </c>
      <c r="B8" s="5" t="s">
        <v>685</v>
      </c>
      <c r="C8" s="5" t="s">
        <v>686</v>
      </c>
      <c r="D8" s="5" t="s">
        <v>687</v>
      </c>
    </row>
    <row r="9" customFormat="false" ht="23.85" hidden="false" customHeight="false" outlineLevel="0" collapsed="false">
      <c r="A9" s="5" t="s">
        <v>688</v>
      </c>
      <c r="B9" s="5" t="s">
        <v>689</v>
      </c>
      <c r="C9" s="5" t="s">
        <v>690</v>
      </c>
      <c r="D9" s="5" t="s">
        <v>691</v>
      </c>
    </row>
    <row r="10" customFormat="false" ht="23.85" hidden="false" customHeight="false" outlineLevel="0" collapsed="false">
      <c r="A10" s="5" t="s">
        <v>692</v>
      </c>
      <c r="B10" s="5" t="s">
        <v>693</v>
      </c>
      <c r="C10" s="5" t="s">
        <v>694</v>
      </c>
      <c r="D10" s="5" t="s">
        <v>695</v>
      </c>
    </row>
    <row r="11" customFormat="false" ht="23.85" hidden="false" customHeight="false" outlineLevel="0" collapsed="false">
      <c r="A11" s="5" t="s">
        <v>696</v>
      </c>
      <c r="B11" s="5" t="s">
        <v>697</v>
      </c>
      <c r="C11" s="5" t="s">
        <v>698</v>
      </c>
      <c r="D11" s="5" t="s">
        <v>699</v>
      </c>
    </row>
    <row r="12" customFormat="false" ht="23.85" hidden="false" customHeight="false" outlineLevel="0" collapsed="false">
      <c r="A12" s="5" t="s">
        <v>700</v>
      </c>
      <c r="B12" s="5" t="s">
        <v>701</v>
      </c>
      <c r="C12" s="5" t="s">
        <v>702</v>
      </c>
      <c r="D12" s="5" t="s">
        <v>703</v>
      </c>
    </row>
    <row r="13" customFormat="false" ht="23.85" hidden="false" customHeight="false" outlineLevel="0" collapsed="false">
      <c r="A13" s="5" t="s">
        <v>704</v>
      </c>
      <c r="B13" s="5" t="s">
        <v>705</v>
      </c>
      <c r="C13" s="5" t="s">
        <v>706</v>
      </c>
      <c r="D13" s="5" t="s">
        <v>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2026-05-30T13:42:14Z</dcterms:created>
  <dc:creator>openpyxl</dc:creator>
  <dc:description/>
  <dc:language>en-US</dc:language>
  <cp:lastModifiedBy/>
  <dcterms:modified xsi:type="dcterms:W3CDTF">2026-05-30T13:42:14Z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