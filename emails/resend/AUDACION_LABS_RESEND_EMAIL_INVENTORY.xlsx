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nd Inventory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<sst xmlns="http://schemas.openxmlformats.org/spreadsheetml/2006/main" count="424" uniqueCount="249">
  <si>
    <t xml:space="preserve">#</t>
  </si>
  <si>
    <t xml:space="preserve">Group</t>
  </si>
  <si>
    <t xml:space="preserve">Email Name</t>
  </si>
  <si>
    <t xml:space="preserve">Trigger Event</t>
  </si>
  <si>
    <t xml:space="preserve">Audience</t>
  </si>
  <si>
    <t xml:space="preserve">From Name</t>
  </si>
  <si>
    <t xml:space="preserve">From Email</t>
  </si>
  <si>
    <t xml:space="preserve">Reply-To</t>
  </si>
  <si>
    <t xml:space="preserve">Subject Line</t>
  </si>
  <si>
    <t xml:space="preserve">Preview Text</t>
  </si>
  <si>
    <t xml:space="preserve">Priority</t>
  </si>
  <si>
    <t xml:space="preserve">Phase</t>
  </si>
  <si>
    <t xml:space="preserve">Personalization Variables</t>
  </si>
  <si>
    <t xml:space="preserve">Plain-Text Fallback</t>
  </si>
  <si>
    <t xml:space="preserve">Notes</t>
  </si>
  <si>
    <t xml:space="preserve">Account &amp; Auth</t>
  </si>
  <si>
    <t xml:space="preserve">Welcome</t>
  </si>
  <si>
    <t xml:space="preserve">After first sign-up + email verified</t>
  </si>
  <si>
    <t xml:space="preserve">New citizen</t>
  </si>
  <si>
    <t xml:space="preserve">Dee at Audacion AI Labs</t>
  </si>
  <si>
    <t xml:space="preserve">hello@audacionailabs.com</t>
  </si>
  <si>
    <t xml:space="preserve">Welcome to Audacion, {first_name}</t>
  </si>
  <si>
    <t xml:space="preserve">You're Fellow #{fellow_number}. Here's what happens next.</t>
  </si>
  <si>
    <t xml:space="preserve">High</t>
  </si>
  <si>
    <t xml:space="preserve">1</t>
  </si>
  <si>
    <t xml:space="preserve">{first_name}, {fellow_number}, {dashboard_url}</t>
  </si>
  <si>
    <t xml:space="preserve">Yes</t>
  </si>
  <si>
    <t xml:space="preserve">First impression. Voice sets tone for everything after.</t>
  </si>
  <si>
    <t xml:space="preserve">Verify Email</t>
  </si>
  <si>
    <t xml:space="preserve">Immediately after sign-up form submit</t>
  </si>
  <si>
    <t xml:space="preserve">New signup, pre-verified</t>
  </si>
  <si>
    <t xml:space="preserve">Audacion AI Labs</t>
  </si>
  <si>
    <t xml:space="preserve">Confirm your email to start observing</t>
  </si>
  <si>
    <t xml:space="preserve">One click and you're in. Link expires in 24 hours.</t>
  </si>
  <si>
    <t xml:space="preserve">Critical</t>
  </si>
  <si>
    <t xml:space="preserve">{first_name}, {verify_url}, {expires_in_hours}</t>
  </si>
  <si>
    <t xml:space="preserve">Single CTA. Link expires in 24h.</t>
  </si>
  <si>
    <t xml:space="preserve">Magic Link / Password Reset</t>
  </si>
  <si>
    <t xml:space="preserve">User requests login link or password reset</t>
  </si>
  <si>
    <t xml:space="preserve">Existing citizen</t>
  </si>
  <si>
    <t xml:space="preserve">Your secure sign-in link</t>
  </si>
  <si>
    <t xml:space="preserve">This link expires in 15 minutes. If you didn't ask for this, ignore it.</t>
  </si>
  <si>
    <t xml:space="preserve">{first_name}, {magic_link_url}, {expires_in_minutes}, {request_ip_city}</t>
  </si>
  <si>
    <t xml:space="preserve">Same template handles both flows.</t>
  </si>
  <si>
    <t xml:space="preserve">Password Changed Confirmation</t>
  </si>
  <si>
    <t xml:space="preserve">Password successfully changed</t>
  </si>
  <si>
    <t xml:space="preserve">Audacion AI Labs — Security</t>
  </si>
  <si>
    <t xml:space="preserve">security@audacionailabs.com</t>
  </si>
  <si>
    <t xml:space="preserve">Your password was just changed</t>
  </si>
  <si>
    <t xml:space="preserve">If this wasn't you, secure your account now.</t>
  </si>
  <si>
    <t xml:space="preserve">{first_name}, {change_time}, {request_ip_city}, {secure_account_url}</t>
  </si>
  <si>
    <t xml:space="preserve">Security confirmation. Includes 'wasn't me' link.</t>
  </si>
  <si>
    <t xml:space="preserve">2FA Setup Confirmed</t>
  </si>
  <si>
    <t xml:space="preserve">User completes 2FA setup</t>
  </si>
  <si>
    <t xml:space="preserve">Admin or Research role</t>
  </si>
  <si>
    <t xml:space="preserve">Two-factor authentication is on</t>
  </si>
  <si>
    <t xml:space="preserve">Backup codes attached. Keep them safe.</t>
  </si>
  <si>
    <t xml:space="preserve">{first_name}, {method}, {backup_codes}</t>
  </si>
  <si>
    <t xml:space="preserve">Only for Admin/Research roles per Dee's spec.</t>
  </si>
  <si>
    <t xml:space="preserve">Citizen Actions</t>
  </si>
  <si>
    <t xml:space="preserve">First Observation Thank You</t>
  </si>
  <si>
    <t xml:space="preserve">User submits first observation</t>
  </si>
  <si>
    <t xml:space="preserve">You just made the research better</t>
  </si>
  <si>
    <t xml:space="preserve">Observation #{observation_id} is in. Here's what happens next.</t>
  </si>
  <si>
    <t xml:space="preserve">{first_name}, {observation_id}, {pillar_name}, {pillar_color}, {dashboard_url}</t>
  </si>
  <si>
    <t xml:space="preserve">Big moment. Personal. From Dee.</t>
  </si>
  <si>
    <t xml:space="preserve">Observation Reviewed / Responded</t>
  </si>
  <si>
    <t xml:space="preserve">Behavioral Health Advisor or research team responds</t>
  </si>
  <si>
    <t xml:space="preserve">Active citizen</t>
  </si>
  <si>
    <t xml:space="preserve">Audacion AI Labs — Research</t>
  </si>
  <si>
    <t xml:space="preserve">research@audacionailabs.com</t>
  </si>
  <si>
    <t xml:space="preserve">We reviewed observation #{observation_id}</t>
  </si>
  <si>
    <t xml:space="preserve">Here's what we found and what's next.</t>
  </si>
  <si>
    <t xml:space="preserve">{first_name}, {observation_id}, {reviewer_name}, {pillar_name}, {review_summary}, {observation_url}</t>
  </si>
  <si>
    <t xml:space="preserve">Closes the loop promised on START_OBSERVING.</t>
  </si>
  <si>
    <t xml:space="preserve">EOT Completed</t>
  </si>
  <si>
    <t xml:space="preserve">Citizen completes End-of-Thread reflection</t>
  </si>
  <si>
    <t xml:space="preserve">Your reflection is logged</t>
  </si>
  <si>
    <t xml:space="preserve">The AI's perspective + yours = the full picture.</t>
  </si>
  <si>
    <t xml:space="preserve">Standard</t>
  </si>
  <si>
    <t xml:space="preserve">{first_name}, {observation_id}, {eot_summary_url}</t>
  </si>
  <si>
    <t xml:space="preserve">EOT closes the observation loop. Light touch.</t>
  </si>
  <si>
    <t xml:space="preserve">Discovery Credit Earned</t>
  </si>
  <si>
    <t xml:space="preserve">Citizen identifies new behavior type</t>
  </si>
  <si>
    <t xml:space="preserve">Citizen who discovered new pattern</t>
  </si>
  <si>
    <t xml:space="preserve">You named something new in AI behavior</t>
  </si>
  <si>
    <t xml:space="preserve">Discovery credit for {discovery_name}. This will outlive both of us.</t>
  </si>
  <si>
    <t xml:space="preserve">{first_name}, {discovery_name}, {discovery_code}, {pillar_name}, {taxonomy_url}</t>
  </si>
  <si>
    <t xml:space="preserve">Sacred moment. Naming rights are a core promise.</t>
  </si>
  <si>
    <t xml:space="preserve">Harm Reports</t>
  </si>
  <si>
    <t xml:space="preserve">Harm Report Received (Account)</t>
  </si>
  <si>
    <t xml:space="preserve">Account holder submits harm report</t>
  </si>
  <si>
    <t xml:space="preserve">Citizen with account</t>
  </si>
  <si>
    <t xml:space="preserve">Audacion AI Labs — Behavioral Health</t>
  </si>
  <si>
    <t xml:space="preserve">care@audacionailabs.com</t>
  </si>
  <si>
    <t xml:space="preserve">We received your report. You're not alone.</t>
  </si>
  <si>
    <t xml:space="preserve">Crisis resources are below. We review every report.</t>
  </si>
  <si>
    <t xml:space="preserve">{first_name}, {report_id}, {urgency_level}, {dashboard_url}, {expected_response_window}</t>
  </si>
  <si>
    <t xml:space="preserve">Crisis resources at TOP of email. Soft, human.</t>
  </si>
  <si>
    <t xml:space="preserve">Harm Report Received (Anonymous)</t>
  </si>
  <si>
    <t xml:space="preserve">Anonymous form submit WITH email provided</t>
  </si>
  <si>
    <t xml:space="preserve">No-account harm reporter, opted to share email</t>
  </si>
  <si>
    <t xml:space="preserve">Tracking ID enclosed. Crisis resources below.</t>
  </si>
  <si>
    <t xml:space="preserve">{report_id}, {urgency_level}, {expected_response_window}</t>
  </si>
  <si>
    <t xml:space="preserve">No first_name (anonymous). Tracking ID instead of dashboard. Branched copy.</t>
  </si>
  <si>
    <t xml:space="preserve">Donations</t>
  </si>
  <si>
    <t xml:space="preserve">Donation Receipt (One-Time)</t>
  </si>
  <si>
    <t xml:space="preserve">Stripe charge succeeds, one-time</t>
  </si>
  <si>
    <t xml:space="preserve">Donor</t>
  </si>
  <si>
    <t xml:space="preserve">donations@audacionailabs.com</t>
  </si>
  <si>
    <t xml:space="preserve">Thank you. Receipt for your gift.</t>
  </si>
  <si>
    <t xml:space="preserve">Receipt attached. Tax info inside.</t>
  </si>
  <si>
    <t xml:space="preserve">{first_name}, {amount}, {date}, {receipt_id}, {tax_id_note}, {receipt_pdf_url}</t>
  </si>
  <si>
    <t xml:space="preserve">Branded receipt on top of Stripe's. PDF attached or linked.</t>
  </si>
  <si>
    <t xml:space="preserve">Recurring Donation Processed</t>
  </si>
  <si>
    <t xml:space="preserve">Stripe processes recurring charge</t>
  </si>
  <si>
    <t xml:space="preserve">Recurring donor</t>
  </si>
  <si>
    <t xml:space="preserve">Your monthly gift just went through</t>
  </si>
  <si>
    <t xml:space="preserve">Receipt inside. You can manage your gift here.</t>
  </si>
  <si>
    <t xml:space="preserve">{first_name}, {amount}, {date}, {receipt_id}, {manage_url}</t>
  </si>
  <si>
    <t xml:space="preserve">Quiet, grateful. Includes manage-subscription link.</t>
  </si>
  <si>
    <t xml:space="preserve">Recurring Donation Failed</t>
  </si>
  <si>
    <t xml:space="preserve">Stripe recurring charge declined</t>
  </si>
  <si>
    <t xml:space="preserve">Recurring donor with failed card</t>
  </si>
  <si>
    <t xml:space="preserve">Heads up: your card didn't go through</t>
  </si>
  <si>
    <t xml:space="preserve">Update your card to keep your gift going.</t>
  </si>
  <si>
    <t xml:space="preserve">{first_name}, {amount}, {decline_reason}, {update_card_url}, {retry_date}</t>
  </si>
  <si>
    <t xml:space="preserve">Soft, blameless. Card update CTA is the only ask.</t>
  </si>
  <si>
    <t xml:space="preserve">Engagement</t>
  </si>
  <si>
    <t xml:space="preserve">Tier-Up</t>
  </si>
  <si>
    <t xml:space="preserve">Citizen advances Field → Senior → Expert → Fellow</t>
  </si>
  <si>
    <t xml:space="preserve">Active citizen tier change</t>
  </si>
  <si>
    <t xml:space="preserve">You're now a {new_tier_name} contributor</t>
  </si>
  <si>
    <t xml:space="preserve">What this unlocks. And what's next.</t>
  </si>
  <si>
    <t xml:space="preserve">{first_name}, {new_tier_name}, {previous_tier}, {observations_count}, {credential_url}</t>
  </si>
  <si>
    <t xml:space="preserve">Real milestone. Earned, not given.</t>
  </si>
  <si>
    <t xml:space="preserve">LinkedIn Credential Issued</t>
  </si>
  <si>
    <t xml:space="preserve">Fellowship tier reached, credential ready</t>
  </si>
  <si>
    <t xml:space="preserve">Citizen reaching Fellow tier</t>
  </si>
  <si>
    <t xml:space="preserve">Your LinkedIn credential is ready</t>
  </si>
  <si>
    <t xml:space="preserve">Add it to your profile in one click.</t>
  </si>
  <si>
    <t xml:space="preserve">{first_name}, {credential_name}, {credential_url}, {linkedin_share_url}</t>
  </si>
  <si>
    <t xml:space="preserve">Phase 1 feature per Thread 124 handoff.</t>
  </si>
  <si>
    <t xml:space="preserve">Referral Credited</t>
  </si>
  <si>
    <t xml:space="preserve">Person referred by citizen signs up + verifies</t>
  </si>
  <si>
    <t xml:space="preserve">Referrer</t>
  </si>
  <si>
    <t xml:space="preserve">{referred_first_name} just joined because of you</t>
  </si>
  <si>
    <t xml:space="preserve">Credit added. Your impact compounds.</t>
  </si>
  <si>
    <t xml:space="preserve">{first_name}, {referred_first_name}, {points_credit}, {dashboard_url}</t>
  </si>
  <si>
    <t xml:space="preserve">Social, not transactional in tone.</t>
  </si>
  <si>
    <t xml:space="preserve">Inquiries</t>
  </si>
  <si>
    <t xml:space="preserve">Contact / Service Inquiry Received</t>
  </si>
  <si>
    <t xml:space="preserve">Any contact / services / partnerships form submit</t>
  </si>
  <si>
    <t xml:space="preserve">Anyone using a contact form</t>
  </si>
  <si>
    <t xml:space="preserve">We got your note. Here's what happens next.</t>
  </si>
  <si>
    <t xml:space="preserve">Response window: {expected_response_window}.</t>
  </si>
  <si>
    <t xml:space="preserve">{first_name}, {inquiry_type}, {inquiry_id}, {expected_response_window}</t>
  </si>
  <si>
    <t xml:space="preserve">One template, inquiry_type branches the body copy.</t>
  </si>
  <si>
    <t xml:space="preserve">Paper Submissions</t>
  </si>
  <si>
    <t xml:space="preserve">Paper Submission Received</t>
  </si>
  <si>
    <t xml:space="preserve">PRISM Summit paper submitted</t>
  </si>
  <si>
    <t xml:space="preserve">Researcher submitting paper</t>
  </si>
  <si>
    <t xml:space="preserve">Audacion AI Labs — PRISM Summit</t>
  </si>
  <si>
    <t xml:space="preserve">summit@audacionailabs.com</t>
  </si>
  <si>
    <t xml:space="preserve">Your paper submission is in</t>
  </si>
  <si>
    <t xml:space="preserve">Submission ID inside. Review timeline below.</t>
  </si>
  <si>
    <t xml:space="preserve">{first_name}, {paper_title}, {submission_id}, {review_timeline}</t>
  </si>
  <si>
    <t xml:space="preserve">Conference-grade acknowledgment.</t>
  </si>
  <si>
    <t xml:space="preserve">Paper Submission Status Update</t>
  </si>
  <si>
    <t xml:space="preserve">Status changes (under review, accepted, etc.)</t>
  </si>
  <si>
    <t xml:space="preserve">Researcher with active submission</t>
  </si>
  <si>
    <t xml:space="preserve">Update on your PRISM Summit submission</t>
  </si>
  <si>
    <t xml:space="preserve">Status: {new_status}. Details inside.</t>
  </si>
  <si>
    <t xml:space="preserve">{first_name}, {paper_title}, {submission_id}, {new_status}, {reviewer_notes}, {next_steps}</t>
  </si>
  <si>
    <t xml:space="preserve">One template, status branches the body.</t>
  </si>
  <si>
    <t xml:space="preserve">Compliance</t>
  </si>
  <si>
    <t xml:space="preserve">GDPR Data Export Ready</t>
  </si>
  <si>
    <t xml:space="preserve">User-requested data export ready for download</t>
  </si>
  <si>
    <t xml:space="preserve">Citizen who requested data export</t>
  </si>
  <si>
    <t xml:space="preserve">Your data export is ready</t>
  </si>
  <si>
    <t xml:space="preserve">Link expires in {expires_in_days} days.</t>
  </si>
  <si>
    <t xml:space="preserve">{first_name}, {export_url}, {expires_in_days}, {format}</t>
  </si>
  <si>
    <t xml:space="preserve">Legal compliance. Plain, clear.</t>
  </si>
  <si>
    <t xml:space="preserve">Account Deletion Confirmed</t>
  </si>
  <si>
    <t xml:space="preserve">User confirms + completes account deletion</t>
  </si>
  <si>
    <t xml:space="preserve">Departing citizen</t>
  </si>
  <si>
    <t xml:space="preserve">Your account is deleted</t>
  </si>
  <si>
    <t xml:space="preserve">What was kept, what was removed. Thank you.</t>
  </si>
  <si>
    <t xml:space="preserve">{first_name}, {deletion_date}, {anonymized_data_note}</t>
  </si>
  <si>
    <t xml:space="preserve">Graceful exit. Explains what's anonymized vs deleted.</t>
  </si>
  <si>
    <t xml:space="preserve">New Device Sign-In</t>
  </si>
  <si>
    <t xml:space="preserve">Sign-in from new IP/device fingerprint</t>
  </si>
  <si>
    <t xml:space="preserve">New sign-in to your account</t>
  </si>
  <si>
    <t xml:space="preserve">{first_name}, {device_info}, {ip_city}, {sign_in_time}, {secure_account_url}</t>
  </si>
  <si>
    <t xml:space="preserve">Security trigger. Includes 'wasn't me' flow.</t>
  </si>
  <si>
    <t xml:space="preserve">Email Address Changed</t>
  </si>
  <si>
    <t xml:space="preserve">User changes account email</t>
  </si>
  <si>
    <t xml:space="preserve">Existing citizen (sent to OLD email)</t>
  </si>
  <si>
    <t xml:space="preserve">Your account email was just changed</t>
  </si>
  <si>
    <t xml:space="preserve">If this wasn't you, act fast.</t>
  </si>
  <si>
    <t xml:space="preserve">{first_name}, {old_email}, {new_email}, {change_time}, {undo_url}</t>
  </si>
  <si>
    <t xml:space="preserve">Sent to OLD email. Security best practice. Includes undo link.</t>
  </si>
  <si>
    <t xml:space="preserve">2FA Disabled Alert</t>
  </si>
  <si>
    <t xml:space="preserve">User turns 2FA off</t>
  </si>
  <si>
    <t xml:space="preserve">Admin/Research role disabling 2FA</t>
  </si>
  <si>
    <t xml:space="preserve">Two-factor authentication is now off</t>
  </si>
  <si>
    <t xml:space="preserve">If this wasn't you, re-enable now.</t>
  </si>
  <si>
    <t xml:space="preserve">{first_name}, {disable_time}, {ip_city}, {reenable_url}</t>
  </si>
  <si>
    <t xml:space="preserve">Security event. Same urgency as new-device.</t>
  </si>
  <si>
    <t xml:space="preserve">Nice-to-Have</t>
  </si>
  <si>
    <t xml:space="preserve">Year-End Tax Receipt</t>
  </si>
  <si>
    <t xml:space="preserve">January 1 batch send to prior-year donors</t>
  </si>
  <si>
    <t xml:space="preserve">Donor with calendar-year giving</t>
  </si>
  <si>
    <t xml:space="preserve">Your {year} giving summary</t>
  </si>
  <si>
    <t xml:space="preserve">Tax-ready receipt for the year. PDF attached.</t>
  </si>
  <si>
    <t xml:space="preserve">3</t>
  </si>
  <si>
    <t xml:space="preserve">{first_name}, {year}, {total_amount}, {gift_count}, {summary_pdf_url}</t>
  </si>
  <si>
    <t xml:space="preserve">Annual batch. Compliance-grade PDF.</t>
  </si>
  <si>
    <t xml:space="preserve">Account Reactivated</t>
  </si>
  <si>
    <t xml:space="preserve">User returns after &gt;90 days dormant</t>
  </si>
  <si>
    <t xml:space="preserve">Returning citizen</t>
  </si>
  <si>
    <t xml:space="preserve">Welcome back, {first_name}</t>
  </si>
  <si>
    <t xml:space="preserve">What you missed while you were gone.</t>
  </si>
  <si>
    <t xml:space="preserve">{first_name}, {dormancy_period}, {new_features_summary}, {dashboard_url}</t>
  </si>
  <si>
    <t xml:space="preserve">Welcome-home tone. Not a guilt-trip.</t>
  </si>
  <si>
    <t xml:space="preserve">Points Milestone</t>
  </si>
  <si>
    <t xml:space="preserve">Points threshold hit between tier-ups</t>
  </si>
  <si>
    <t xml:space="preserve">{points} points. That's real movement.</t>
  </si>
  <si>
    <t xml:space="preserve">Here's how close you are to {next_tier}.</t>
  </si>
  <si>
    <t xml:space="preserve">Low</t>
  </si>
  <si>
    <t xml:space="preserve">{first_name}, {points}, {next_tier}, {points_to_next_tier}, {dashboard_url}</t>
  </si>
  <si>
    <t xml:space="preserve">Encouragement, not a leaderboard pressure.</t>
  </si>
  <si>
    <t xml:space="preserve">Audacion AI Labs — Resend Transactional Email Inventory</t>
  </si>
  <si>
    <t xml:space="preserve">Total emails:</t>
  </si>
  <si>
    <t xml:space="preserve">Phase 1 (launch must-have):</t>
  </si>
  <si>
    <t xml:space="preserve">Phase 2 (should-have):</t>
  </si>
  <si>
    <t xml:space="preserve">Phase 3 (nice-to-have):</t>
  </si>
  <si>
    <t xml:space="preserve">Critical priority:</t>
  </si>
  <si>
    <t xml:space="preserve">High priority:</t>
  </si>
  <si>
    <t xml:space="preserve">Standard priority:</t>
  </si>
  <si>
    <t xml:space="preserve">Low priority:</t>
  </si>
  <si>
    <t xml:space="preserve">What lives in Brevo (separate platform):</t>
  </si>
  <si>
    <t xml:space="preserve">Newsletter / Follow signup confirmation (double opt-in)</t>
  </si>
  <si>
    <t xml:space="preserve">Weekly Digest</t>
  </si>
  <si>
    <t xml:space="preserve">PRISM Summit (registration confirmation, reminder before, follow-up after)</t>
  </si>
  <si>
    <t xml:space="preserve">Re-engagement / dormancy nudges (social-proof and milestone framing)</t>
  </si>
  <si>
    <t xml:space="preserve">Services nurture sequences (Partnerships, Sponsored Research, Premium Reports, Consulting, Training)</t>
  </si>
  <si>
    <t xml:space="preserve">Blog post drops</t>
  </si>
  <si>
    <t xml:space="preserve">Founder notes from Dee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</si>
</sst>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C1C1C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6"/>
      <color rgb="FF6C3483"/>
      <name val="Arial"/>
      <family val="0"/>
      <charset val="1"/>
    </font>
    <font>
      <b val="true"/>
      <sz val="12"/>
      <color rgb="FF6C3483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C3483"/>
        <bgColor rgb="FF993366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EAFAF1"/>
        <bgColor rgb="FFEBEDEF"/>
      </patternFill>
    </fill>
    <fill>
      <patternFill patternType="solid">
        <fgColor rgb="FFEBEDEF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C3483"/>
      <rgbColor rgb="FFFDEBD0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DEF"/>
      <rgbColor rgb="FFE5E7EB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8" min="7" style="0" width="30"/>
    <col collapsed="false" customWidth="true" hidden="false" outlineLevel="0" max="9" min="9" style="0" width="42"/>
    <col collapsed="false" customWidth="true" hidden="false" outlineLevel="0" max="10" min="10" style="0" width="50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50"/>
    <col collapsed="false" customWidth="true" hidden="false" outlineLevel="0" max="14" min="14" style="0" width="14"/>
    <col collapsed="false" customWidth="true" hidden="false" outlineLevel="0" max="15" min="15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60" hidden="false" customHeight="true" outlineLevel="0" collapsed="false">
      <c r="A2" s="2" t="n">
        <v>1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 t="s">
        <v>22</v>
      </c>
      <c r="K2" s="4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false" ht="60" hidden="false" customHeight="true" outlineLevel="0" collapsed="false">
      <c r="A3" s="2" t="n">
        <v>2</v>
      </c>
      <c r="B3" s="3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20</v>
      </c>
      <c r="H3" s="2" t="s">
        <v>20</v>
      </c>
      <c r="I3" s="2" t="s">
        <v>32</v>
      </c>
      <c r="J3" s="2" t="s">
        <v>33</v>
      </c>
      <c r="K3" s="5" t="s">
        <v>34</v>
      </c>
      <c r="L3" s="2" t="s">
        <v>24</v>
      </c>
      <c r="M3" s="2" t="s">
        <v>35</v>
      </c>
      <c r="N3" s="2" t="s">
        <v>26</v>
      </c>
      <c r="O3" s="2" t="s">
        <v>36</v>
      </c>
    </row>
    <row r="4" customFormat="false" ht="60" hidden="false" customHeight="true" outlineLevel="0" collapsed="false">
      <c r="A4" s="2" t="n">
        <v>3</v>
      </c>
      <c r="B4" s="3" t="s">
        <v>15</v>
      </c>
      <c r="C4" s="2" t="s">
        <v>37</v>
      </c>
      <c r="D4" s="2" t="s">
        <v>38</v>
      </c>
      <c r="E4" s="2" t="s">
        <v>39</v>
      </c>
      <c r="F4" s="2" t="s">
        <v>31</v>
      </c>
      <c r="G4" s="2" t="s">
        <v>20</v>
      </c>
      <c r="H4" s="2" t="s">
        <v>20</v>
      </c>
      <c r="I4" s="2" t="s">
        <v>40</v>
      </c>
      <c r="J4" s="2" t="s">
        <v>41</v>
      </c>
      <c r="K4" s="5" t="s">
        <v>34</v>
      </c>
      <c r="L4" s="2" t="s">
        <v>24</v>
      </c>
      <c r="M4" s="2" t="s">
        <v>42</v>
      </c>
      <c r="N4" s="2" t="s">
        <v>26</v>
      </c>
      <c r="O4" s="2" t="s">
        <v>43</v>
      </c>
    </row>
    <row r="5" customFormat="false" ht="60" hidden="false" customHeight="true" outlineLevel="0" collapsed="false">
      <c r="A5" s="2" t="n">
        <v>4</v>
      </c>
      <c r="B5" s="3" t="s">
        <v>15</v>
      </c>
      <c r="C5" s="2" t="s">
        <v>44</v>
      </c>
      <c r="D5" s="2" t="s">
        <v>45</v>
      </c>
      <c r="E5" s="2" t="s">
        <v>39</v>
      </c>
      <c r="F5" s="2" t="s">
        <v>46</v>
      </c>
      <c r="G5" s="2" t="s">
        <v>47</v>
      </c>
      <c r="H5" s="2" t="s">
        <v>47</v>
      </c>
      <c r="I5" s="2" t="s">
        <v>48</v>
      </c>
      <c r="J5" s="2" t="s">
        <v>49</v>
      </c>
      <c r="K5" s="5" t="s">
        <v>34</v>
      </c>
      <c r="L5" s="2" t="s">
        <v>24</v>
      </c>
      <c r="M5" s="2" t="s">
        <v>50</v>
      </c>
      <c r="N5" s="2" t="s">
        <v>26</v>
      </c>
      <c r="O5" s="2" t="s">
        <v>51</v>
      </c>
    </row>
    <row r="6" customFormat="false" ht="60" hidden="false" customHeight="true" outlineLevel="0" collapsed="false">
      <c r="A6" s="2" t="n">
        <v>5</v>
      </c>
      <c r="B6" s="3" t="s">
        <v>15</v>
      </c>
      <c r="C6" s="2" t="s">
        <v>52</v>
      </c>
      <c r="D6" s="2" t="s">
        <v>53</v>
      </c>
      <c r="E6" s="2" t="s">
        <v>54</v>
      </c>
      <c r="F6" s="2" t="s">
        <v>46</v>
      </c>
      <c r="G6" s="2" t="s">
        <v>47</v>
      </c>
      <c r="H6" s="2" t="s">
        <v>47</v>
      </c>
      <c r="I6" s="2" t="s">
        <v>55</v>
      </c>
      <c r="J6" s="2" t="s">
        <v>56</v>
      </c>
      <c r="K6" s="4" t="s">
        <v>23</v>
      </c>
      <c r="L6" s="2" t="s">
        <v>24</v>
      </c>
      <c r="M6" s="2" t="s">
        <v>57</v>
      </c>
      <c r="N6" s="2" t="s">
        <v>26</v>
      </c>
      <c r="O6" s="2" t="s">
        <v>58</v>
      </c>
    </row>
    <row r="7" customFormat="false" ht="60" hidden="false" customHeight="true" outlineLevel="0" collapsed="false">
      <c r="A7" s="2" t="n">
        <v>6</v>
      </c>
      <c r="B7" s="3" t="s">
        <v>59</v>
      </c>
      <c r="C7" s="2" t="s">
        <v>60</v>
      </c>
      <c r="D7" s="2" t="s">
        <v>61</v>
      </c>
      <c r="E7" s="2" t="s">
        <v>18</v>
      </c>
      <c r="F7" s="2" t="s">
        <v>19</v>
      </c>
      <c r="G7" s="2" t="s">
        <v>20</v>
      </c>
      <c r="H7" s="2" t="s">
        <v>20</v>
      </c>
      <c r="I7" s="2" t="s">
        <v>62</v>
      </c>
      <c r="J7" s="2" t="s">
        <v>63</v>
      </c>
      <c r="K7" s="4" t="s">
        <v>23</v>
      </c>
      <c r="L7" s="2" t="s">
        <v>24</v>
      </c>
      <c r="M7" s="2" t="s">
        <v>64</v>
      </c>
      <c r="N7" s="2" t="s">
        <v>26</v>
      </c>
      <c r="O7" s="2" t="s">
        <v>65</v>
      </c>
    </row>
    <row r="8" customFormat="false" ht="60" hidden="false" customHeight="true" outlineLevel="0" collapsed="false">
      <c r="A8" s="2" t="n">
        <v>7</v>
      </c>
      <c r="B8" s="3" t="s">
        <v>59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70</v>
      </c>
      <c r="I8" s="2" t="s">
        <v>71</v>
      </c>
      <c r="J8" s="2" t="s">
        <v>72</v>
      </c>
      <c r="K8" s="4" t="s">
        <v>23</v>
      </c>
      <c r="L8" s="2" t="s">
        <v>24</v>
      </c>
      <c r="M8" s="2" t="s">
        <v>73</v>
      </c>
      <c r="N8" s="2" t="s">
        <v>26</v>
      </c>
      <c r="O8" s="2" t="s">
        <v>74</v>
      </c>
    </row>
    <row r="9" customFormat="false" ht="60" hidden="false" customHeight="true" outlineLevel="0" collapsed="false">
      <c r="A9" s="2" t="n">
        <v>8</v>
      </c>
      <c r="B9" s="3" t="s">
        <v>59</v>
      </c>
      <c r="C9" s="2" t="s">
        <v>75</v>
      </c>
      <c r="D9" s="2" t="s">
        <v>76</v>
      </c>
      <c r="E9" s="2" t="s">
        <v>68</v>
      </c>
      <c r="F9" s="2" t="s">
        <v>31</v>
      </c>
      <c r="G9" s="2" t="s">
        <v>20</v>
      </c>
      <c r="H9" s="2" t="s">
        <v>20</v>
      </c>
      <c r="I9" s="2" t="s">
        <v>77</v>
      </c>
      <c r="J9" s="2" t="s">
        <v>78</v>
      </c>
      <c r="K9" s="6" t="s">
        <v>79</v>
      </c>
      <c r="L9" s="2" t="s">
        <v>24</v>
      </c>
      <c r="M9" s="2" t="s">
        <v>80</v>
      </c>
      <c r="N9" s="2" t="s">
        <v>26</v>
      </c>
      <c r="O9" s="2" t="s">
        <v>81</v>
      </c>
    </row>
    <row r="10" customFormat="false" ht="60" hidden="false" customHeight="true" outlineLevel="0" collapsed="false">
      <c r="A10" s="2" t="n">
        <v>9</v>
      </c>
      <c r="B10" s="3" t="s">
        <v>59</v>
      </c>
      <c r="C10" s="2" t="s">
        <v>82</v>
      </c>
      <c r="D10" s="2" t="s">
        <v>83</v>
      </c>
      <c r="E10" s="2" t="s">
        <v>84</v>
      </c>
      <c r="F10" s="2" t="s">
        <v>19</v>
      </c>
      <c r="G10" s="2" t="s">
        <v>20</v>
      </c>
      <c r="H10" s="2" t="s">
        <v>20</v>
      </c>
      <c r="I10" s="2" t="s">
        <v>85</v>
      </c>
      <c r="J10" s="2" t="s">
        <v>86</v>
      </c>
      <c r="K10" s="4" t="s">
        <v>23</v>
      </c>
      <c r="L10" s="2" t="s">
        <v>24</v>
      </c>
      <c r="M10" s="2" t="s">
        <v>87</v>
      </c>
      <c r="N10" s="2" t="s">
        <v>26</v>
      </c>
      <c r="O10" s="2" t="s">
        <v>88</v>
      </c>
    </row>
    <row r="11" customFormat="false" ht="60" hidden="false" customHeight="true" outlineLevel="0" collapsed="false">
      <c r="A11" s="2" t="n">
        <v>10</v>
      </c>
      <c r="B11" s="3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94</v>
      </c>
      <c r="I11" s="2" t="s">
        <v>95</v>
      </c>
      <c r="J11" s="2" t="s">
        <v>96</v>
      </c>
      <c r="K11" s="5" t="s">
        <v>34</v>
      </c>
      <c r="L11" s="2" t="s">
        <v>24</v>
      </c>
      <c r="M11" s="2" t="s">
        <v>97</v>
      </c>
      <c r="N11" s="2" t="s">
        <v>26</v>
      </c>
      <c r="O11" s="2" t="s">
        <v>98</v>
      </c>
    </row>
    <row r="12" customFormat="false" ht="60" hidden="false" customHeight="true" outlineLevel="0" collapsed="false">
      <c r="A12" s="2" t="n">
        <v>11</v>
      </c>
      <c r="B12" s="3" t="s">
        <v>89</v>
      </c>
      <c r="C12" s="2" t="s">
        <v>99</v>
      </c>
      <c r="D12" s="2" t="s">
        <v>100</v>
      </c>
      <c r="E12" s="2" t="s">
        <v>101</v>
      </c>
      <c r="F12" s="2" t="s">
        <v>93</v>
      </c>
      <c r="G12" s="2" t="s">
        <v>94</v>
      </c>
      <c r="H12" s="2" t="s">
        <v>94</v>
      </c>
      <c r="I12" s="2" t="s">
        <v>95</v>
      </c>
      <c r="J12" s="2" t="s">
        <v>102</v>
      </c>
      <c r="K12" s="5" t="s">
        <v>34</v>
      </c>
      <c r="L12" s="2" t="s">
        <v>24</v>
      </c>
      <c r="M12" s="2" t="s">
        <v>103</v>
      </c>
      <c r="N12" s="2" t="s">
        <v>26</v>
      </c>
      <c r="O12" s="2" t="s">
        <v>104</v>
      </c>
    </row>
    <row r="13" customFormat="false" ht="60" hidden="false" customHeight="true" outlineLevel="0" collapsed="false">
      <c r="A13" s="2" t="n">
        <v>12</v>
      </c>
      <c r="B13" s="3" t="s">
        <v>105</v>
      </c>
      <c r="C13" s="2" t="s">
        <v>106</v>
      </c>
      <c r="D13" s="2" t="s">
        <v>107</v>
      </c>
      <c r="E13" s="2" t="s">
        <v>108</v>
      </c>
      <c r="F13" s="2" t="s">
        <v>31</v>
      </c>
      <c r="G13" s="2" t="s">
        <v>109</v>
      </c>
      <c r="H13" s="2" t="s">
        <v>109</v>
      </c>
      <c r="I13" s="2" t="s">
        <v>110</v>
      </c>
      <c r="J13" s="2" t="s">
        <v>111</v>
      </c>
      <c r="K13" s="4" t="s">
        <v>23</v>
      </c>
      <c r="L13" s="2" t="s">
        <v>24</v>
      </c>
      <c r="M13" s="2" t="s">
        <v>112</v>
      </c>
      <c r="N13" s="2" t="s">
        <v>26</v>
      </c>
      <c r="O13" s="2" t="s">
        <v>113</v>
      </c>
    </row>
    <row r="14" customFormat="false" ht="60" hidden="false" customHeight="true" outlineLevel="0" collapsed="false">
      <c r="A14" s="2" t="n">
        <v>13</v>
      </c>
      <c r="B14" s="3" t="s">
        <v>105</v>
      </c>
      <c r="C14" s="2" t="s">
        <v>114</v>
      </c>
      <c r="D14" s="2" t="s">
        <v>115</v>
      </c>
      <c r="E14" s="2" t="s">
        <v>116</v>
      </c>
      <c r="F14" s="2" t="s">
        <v>31</v>
      </c>
      <c r="G14" s="2" t="s">
        <v>109</v>
      </c>
      <c r="H14" s="2" t="s">
        <v>109</v>
      </c>
      <c r="I14" s="2" t="s">
        <v>117</v>
      </c>
      <c r="J14" s="2" t="s">
        <v>118</v>
      </c>
      <c r="K14" s="6" t="s">
        <v>79</v>
      </c>
      <c r="L14" s="2" t="s">
        <v>24</v>
      </c>
      <c r="M14" s="2" t="s">
        <v>119</v>
      </c>
      <c r="N14" s="2" t="s">
        <v>26</v>
      </c>
      <c r="O14" s="2" t="s">
        <v>120</v>
      </c>
    </row>
    <row r="15" customFormat="false" ht="60" hidden="false" customHeight="true" outlineLevel="0" collapsed="false">
      <c r="A15" s="2" t="n">
        <v>14</v>
      </c>
      <c r="B15" s="3" t="s">
        <v>105</v>
      </c>
      <c r="C15" s="2" t="s">
        <v>121</v>
      </c>
      <c r="D15" s="2" t="s">
        <v>122</v>
      </c>
      <c r="E15" s="2" t="s">
        <v>123</v>
      </c>
      <c r="F15" s="2" t="s">
        <v>31</v>
      </c>
      <c r="G15" s="2" t="s">
        <v>109</v>
      </c>
      <c r="H15" s="2" t="s">
        <v>109</v>
      </c>
      <c r="I15" s="2" t="s">
        <v>124</v>
      </c>
      <c r="J15" s="2" t="s">
        <v>125</v>
      </c>
      <c r="K15" s="5" t="s">
        <v>34</v>
      </c>
      <c r="L15" s="2" t="s">
        <v>24</v>
      </c>
      <c r="M15" s="2" t="s">
        <v>126</v>
      </c>
      <c r="N15" s="2" t="s">
        <v>26</v>
      </c>
      <c r="O15" s="2" t="s">
        <v>127</v>
      </c>
    </row>
    <row r="16" customFormat="false" ht="60" hidden="false" customHeight="true" outlineLevel="0" collapsed="false">
      <c r="A16" s="2" t="n">
        <v>15</v>
      </c>
      <c r="B16" s="3" t="s">
        <v>128</v>
      </c>
      <c r="C16" s="2" t="s">
        <v>129</v>
      </c>
      <c r="D16" s="2" t="s">
        <v>130</v>
      </c>
      <c r="E16" s="2" t="s">
        <v>131</v>
      </c>
      <c r="F16" s="2" t="s">
        <v>19</v>
      </c>
      <c r="G16" s="2" t="s">
        <v>20</v>
      </c>
      <c r="H16" s="2" t="s">
        <v>20</v>
      </c>
      <c r="I16" s="2" t="s">
        <v>132</v>
      </c>
      <c r="J16" s="2" t="s">
        <v>133</v>
      </c>
      <c r="K16" s="4" t="s">
        <v>23</v>
      </c>
      <c r="L16" s="2" t="s">
        <v>24</v>
      </c>
      <c r="M16" s="2" t="s">
        <v>134</v>
      </c>
      <c r="N16" s="2" t="s">
        <v>26</v>
      </c>
      <c r="O16" s="2" t="s">
        <v>135</v>
      </c>
    </row>
    <row r="17" customFormat="false" ht="60" hidden="false" customHeight="true" outlineLevel="0" collapsed="false">
      <c r="A17" s="2" t="n">
        <v>16</v>
      </c>
      <c r="B17" s="3" t="s">
        <v>128</v>
      </c>
      <c r="C17" s="2" t="s">
        <v>136</v>
      </c>
      <c r="D17" s="2" t="s">
        <v>137</v>
      </c>
      <c r="E17" s="2" t="s">
        <v>138</v>
      </c>
      <c r="F17" s="2" t="s">
        <v>31</v>
      </c>
      <c r="G17" s="2" t="s">
        <v>20</v>
      </c>
      <c r="H17" s="2" t="s">
        <v>20</v>
      </c>
      <c r="I17" s="2" t="s">
        <v>139</v>
      </c>
      <c r="J17" s="2" t="s">
        <v>140</v>
      </c>
      <c r="K17" s="4" t="s">
        <v>23</v>
      </c>
      <c r="L17" s="2" t="s">
        <v>24</v>
      </c>
      <c r="M17" s="2" t="s">
        <v>141</v>
      </c>
      <c r="N17" s="2" t="s">
        <v>26</v>
      </c>
      <c r="O17" s="2" t="s">
        <v>142</v>
      </c>
    </row>
    <row r="18" customFormat="false" ht="60" hidden="false" customHeight="true" outlineLevel="0" collapsed="false">
      <c r="A18" s="2" t="n">
        <v>17</v>
      </c>
      <c r="B18" s="3" t="s">
        <v>128</v>
      </c>
      <c r="C18" s="2" t="s">
        <v>143</v>
      </c>
      <c r="D18" s="2" t="s">
        <v>144</v>
      </c>
      <c r="E18" s="2" t="s">
        <v>145</v>
      </c>
      <c r="F18" s="2" t="s">
        <v>31</v>
      </c>
      <c r="G18" s="2" t="s">
        <v>20</v>
      </c>
      <c r="H18" s="2" t="s">
        <v>20</v>
      </c>
      <c r="I18" s="2" t="s">
        <v>146</v>
      </c>
      <c r="J18" s="2" t="s">
        <v>147</v>
      </c>
      <c r="K18" s="6" t="s">
        <v>79</v>
      </c>
      <c r="L18" s="2" t="s">
        <v>24</v>
      </c>
      <c r="M18" s="2" t="s">
        <v>148</v>
      </c>
      <c r="N18" s="2" t="s">
        <v>26</v>
      </c>
      <c r="O18" s="2" t="s">
        <v>149</v>
      </c>
    </row>
    <row r="19" customFormat="false" ht="60" hidden="false" customHeight="true" outlineLevel="0" collapsed="false">
      <c r="A19" s="2" t="n">
        <v>18</v>
      </c>
      <c r="B19" s="3" t="s">
        <v>150</v>
      </c>
      <c r="C19" s="2" t="s">
        <v>151</v>
      </c>
      <c r="D19" s="2" t="s">
        <v>152</v>
      </c>
      <c r="E19" s="2" t="s">
        <v>153</v>
      </c>
      <c r="F19" s="2" t="s">
        <v>31</v>
      </c>
      <c r="G19" s="2" t="s">
        <v>20</v>
      </c>
      <c r="H19" s="2" t="s">
        <v>20</v>
      </c>
      <c r="I19" s="2" t="s">
        <v>154</v>
      </c>
      <c r="J19" s="2" t="s">
        <v>155</v>
      </c>
      <c r="K19" s="4" t="s">
        <v>23</v>
      </c>
      <c r="L19" s="2" t="s">
        <v>24</v>
      </c>
      <c r="M19" s="2" t="s">
        <v>156</v>
      </c>
      <c r="N19" s="2" t="s">
        <v>26</v>
      </c>
      <c r="O19" s="2" t="s">
        <v>157</v>
      </c>
    </row>
    <row r="20" customFormat="false" ht="60" hidden="false" customHeight="true" outlineLevel="0" collapsed="false">
      <c r="A20" s="2" t="n">
        <v>19</v>
      </c>
      <c r="B20" s="3" t="s">
        <v>158</v>
      </c>
      <c r="C20" s="2" t="s">
        <v>159</v>
      </c>
      <c r="D20" s="2" t="s">
        <v>160</v>
      </c>
      <c r="E20" s="2" t="s">
        <v>161</v>
      </c>
      <c r="F20" s="2" t="s">
        <v>162</v>
      </c>
      <c r="G20" s="2" t="s">
        <v>163</v>
      </c>
      <c r="H20" s="2" t="s">
        <v>163</v>
      </c>
      <c r="I20" s="2" t="s">
        <v>164</v>
      </c>
      <c r="J20" s="2" t="s">
        <v>165</v>
      </c>
      <c r="K20" s="4" t="s">
        <v>23</v>
      </c>
      <c r="L20" s="2" t="s">
        <v>24</v>
      </c>
      <c r="M20" s="2" t="s">
        <v>166</v>
      </c>
      <c r="N20" s="2" t="s">
        <v>26</v>
      </c>
      <c r="O20" s="2" t="s">
        <v>167</v>
      </c>
    </row>
    <row r="21" customFormat="false" ht="60" hidden="false" customHeight="true" outlineLevel="0" collapsed="false">
      <c r="A21" s="2" t="n">
        <v>20</v>
      </c>
      <c r="B21" s="3" t="s">
        <v>158</v>
      </c>
      <c r="C21" s="2" t="s">
        <v>168</v>
      </c>
      <c r="D21" s="2" t="s">
        <v>169</v>
      </c>
      <c r="E21" s="2" t="s">
        <v>170</v>
      </c>
      <c r="F21" s="2" t="s">
        <v>162</v>
      </c>
      <c r="G21" s="2" t="s">
        <v>163</v>
      </c>
      <c r="H21" s="2" t="s">
        <v>163</v>
      </c>
      <c r="I21" s="2" t="s">
        <v>171</v>
      </c>
      <c r="J21" s="2" t="s">
        <v>172</v>
      </c>
      <c r="K21" s="4" t="s">
        <v>23</v>
      </c>
      <c r="L21" s="2" t="s">
        <v>24</v>
      </c>
      <c r="M21" s="2" t="s">
        <v>173</v>
      </c>
      <c r="N21" s="2" t="s">
        <v>26</v>
      </c>
      <c r="O21" s="2" t="s">
        <v>174</v>
      </c>
    </row>
    <row r="22" customFormat="false" ht="60" hidden="false" customHeight="true" outlineLevel="0" collapsed="false">
      <c r="A22" s="2" t="n">
        <v>21</v>
      </c>
      <c r="B22" s="3" t="s">
        <v>175</v>
      </c>
      <c r="C22" s="2" t="s">
        <v>176</v>
      </c>
      <c r="D22" s="2" t="s">
        <v>177</v>
      </c>
      <c r="E22" s="2" t="s">
        <v>178</v>
      </c>
      <c r="F22" s="2" t="s">
        <v>31</v>
      </c>
      <c r="G22" s="2" t="s">
        <v>20</v>
      </c>
      <c r="H22" s="2" t="s">
        <v>20</v>
      </c>
      <c r="I22" s="2" t="s">
        <v>179</v>
      </c>
      <c r="J22" s="2" t="s">
        <v>180</v>
      </c>
      <c r="K22" s="4" t="s">
        <v>23</v>
      </c>
      <c r="L22" s="2" t="s">
        <v>24</v>
      </c>
      <c r="M22" s="2" t="s">
        <v>181</v>
      </c>
      <c r="N22" s="2" t="s">
        <v>26</v>
      </c>
      <c r="O22" s="2" t="s">
        <v>182</v>
      </c>
    </row>
    <row r="23" customFormat="false" ht="60" hidden="false" customHeight="true" outlineLevel="0" collapsed="false">
      <c r="A23" s="2" t="n">
        <v>22</v>
      </c>
      <c r="B23" s="3" t="s">
        <v>175</v>
      </c>
      <c r="C23" s="2" t="s">
        <v>183</v>
      </c>
      <c r="D23" s="2" t="s">
        <v>184</v>
      </c>
      <c r="E23" s="2" t="s">
        <v>185</v>
      </c>
      <c r="F23" s="2" t="s">
        <v>31</v>
      </c>
      <c r="G23" s="2" t="s">
        <v>20</v>
      </c>
      <c r="H23" s="2" t="s">
        <v>20</v>
      </c>
      <c r="I23" s="2" t="s">
        <v>186</v>
      </c>
      <c r="J23" s="2" t="s">
        <v>187</v>
      </c>
      <c r="K23" s="4" t="s">
        <v>23</v>
      </c>
      <c r="L23" s="2" t="s">
        <v>24</v>
      </c>
      <c r="M23" s="2" t="s">
        <v>188</v>
      </c>
      <c r="N23" s="2" t="s">
        <v>26</v>
      </c>
      <c r="O23" s="2" t="s">
        <v>189</v>
      </c>
    </row>
    <row r="24" customFormat="false" ht="60" hidden="false" customHeight="true" outlineLevel="0" collapsed="false">
      <c r="A24" s="2" t="n">
        <v>23</v>
      </c>
      <c r="B24" s="3" t="s">
        <v>175</v>
      </c>
      <c r="C24" s="2" t="s">
        <v>190</v>
      </c>
      <c r="D24" s="2" t="s">
        <v>191</v>
      </c>
      <c r="E24" s="2" t="s">
        <v>39</v>
      </c>
      <c r="F24" s="2" t="s">
        <v>46</v>
      </c>
      <c r="G24" s="2" t="s">
        <v>47</v>
      </c>
      <c r="H24" s="2" t="s">
        <v>47</v>
      </c>
      <c r="I24" s="2" t="s">
        <v>192</v>
      </c>
      <c r="J24" s="2" t="s">
        <v>49</v>
      </c>
      <c r="K24" s="5" t="s">
        <v>34</v>
      </c>
      <c r="L24" s="2" t="s">
        <v>24</v>
      </c>
      <c r="M24" s="2" t="s">
        <v>193</v>
      </c>
      <c r="N24" s="2" t="s">
        <v>26</v>
      </c>
      <c r="O24" s="2" t="s">
        <v>194</v>
      </c>
    </row>
    <row r="25" customFormat="false" ht="60" hidden="false" customHeight="true" outlineLevel="0" collapsed="false">
      <c r="A25" s="2" t="n">
        <v>24</v>
      </c>
      <c r="B25" s="3" t="s">
        <v>175</v>
      </c>
      <c r="C25" s="2" t="s">
        <v>195</v>
      </c>
      <c r="D25" s="2" t="s">
        <v>196</v>
      </c>
      <c r="E25" s="2" t="s">
        <v>197</v>
      </c>
      <c r="F25" s="2" t="s">
        <v>46</v>
      </c>
      <c r="G25" s="2" t="s">
        <v>47</v>
      </c>
      <c r="H25" s="2" t="s">
        <v>47</v>
      </c>
      <c r="I25" s="2" t="s">
        <v>198</v>
      </c>
      <c r="J25" s="2" t="s">
        <v>199</v>
      </c>
      <c r="K25" s="5" t="s">
        <v>34</v>
      </c>
      <c r="L25" s="2" t="s">
        <v>24</v>
      </c>
      <c r="M25" s="2" t="s">
        <v>200</v>
      </c>
      <c r="N25" s="2" t="s">
        <v>26</v>
      </c>
      <c r="O25" s="2" t="s">
        <v>201</v>
      </c>
    </row>
    <row r="26" customFormat="false" ht="60" hidden="false" customHeight="true" outlineLevel="0" collapsed="false">
      <c r="A26" s="2" t="n">
        <v>25</v>
      </c>
      <c r="B26" s="3" t="s">
        <v>175</v>
      </c>
      <c r="C26" s="2" t="s">
        <v>202</v>
      </c>
      <c r="D26" s="2" t="s">
        <v>203</v>
      </c>
      <c r="E26" s="2" t="s">
        <v>204</v>
      </c>
      <c r="F26" s="2" t="s">
        <v>46</v>
      </c>
      <c r="G26" s="2" t="s">
        <v>47</v>
      </c>
      <c r="H26" s="2" t="s">
        <v>47</v>
      </c>
      <c r="I26" s="2" t="s">
        <v>205</v>
      </c>
      <c r="J26" s="2" t="s">
        <v>206</v>
      </c>
      <c r="K26" s="5" t="s">
        <v>34</v>
      </c>
      <c r="L26" s="2" t="s">
        <v>24</v>
      </c>
      <c r="M26" s="2" t="s">
        <v>207</v>
      </c>
      <c r="N26" s="2" t="s">
        <v>26</v>
      </c>
      <c r="O26" s="2" t="s">
        <v>208</v>
      </c>
    </row>
    <row r="27" customFormat="false" ht="60" hidden="false" customHeight="true" outlineLevel="0" collapsed="false">
      <c r="A27" s="2" t="n">
        <v>26</v>
      </c>
      <c r="B27" s="3" t="s">
        <v>209</v>
      </c>
      <c r="C27" s="2" t="s">
        <v>210</v>
      </c>
      <c r="D27" s="2" t="s">
        <v>211</v>
      </c>
      <c r="E27" s="2" t="s">
        <v>212</v>
      </c>
      <c r="F27" s="2" t="s">
        <v>31</v>
      </c>
      <c r="G27" s="2" t="s">
        <v>109</v>
      </c>
      <c r="H27" s="2" t="s">
        <v>109</v>
      </c>
      <c r="I27" s="2" t="s">
        <v>213</v>
      </c>
      <c r="J27" s="2" t="s">
        <v>214</v>
      </c>
      <c r="K27" s="6" t="s">
        <v>79</v>
      </c>
      <c r="L27" s="2" t="s">
        <v>215</v>
      </c>
      <c r="M27" s="2" t="s">
        <v>216</v>
      </c>
      <c r="N27" s="2" t="s">
        <v>26</v>
      </c>
      <c r="O27" s="2" t="s">
        <v>217</v>
      </c>
    </row>
    <row r="28" customFormat="false" ht="60" hidden="false" customHeight="true" outlineLevel="0" collapsed="false">
      <c r="A28" s="2" t="n">
        <v>27</v>
      </c>
      <c r="B28" s="3" t="s">
        <v>209</v>
      </c>
      <c r="C28" s="2" t="s">
        <v>218</v>
      </c>
      <c r="D28" s="2" t="s">
        <v>219</v>
      </c>
      <c r="E28" s="2" t="s">
        <v>220</v>
      </c>
      <c r="F28" s="2" t="s">
        <v>31</v>
      </c>
      <c r="G28" s="2" t="s">
        <v>20</v>
      </c>
      <c r="H28" s="2" t="s">
        <v>20</v>
      </c>
      <c r="I28" s="2" t="s">
        <v>221</v>
      </c>
      <c r="J28" s="2" t="s">
        <v>222</v>
      </c>
      <c r="K28" s="6" t="s">
        <v>79</v>
      </c>
      <c r="L28" s="2" t="s">
        <v>215</v>
      </c>
      <c r="M28" s="2" t="s">
        <v>223</v>
      </c>
      <c r="N28" s="2" t="s">
        <v>26</v>
      </c>
      <c r="O28" s="2" t="s">
        <v>224</v>
      </c>
    </row>
    <row r="29" customFormat="false" ht="60" hidden="false" customHeight="true" outlineLevel="0" collapsed="false">
      <c r="A29" s="2" t="n">
        <v>28</v>
      </c>
      <c r="B29" s="3" t="s">
        <v>209</v>
      </c>
      <c r="C29" s="2" t="s">
        <v>225</v>
      </c>
      <c r="D29" s="2" t="s">
        <v>226</v>
      </c>
      <c r="E29" s="2" t="s">
        <v>68</v>
      </c>
      <c r="F29" s="2" t="s">
        <v>31</v>
      </c>
      <c r="G29" s="2" t="s">
        <v>20</v>
      </c>
      <c r="H29" s="2" t="s">
        <v>20</v>
      </c>
      <c r="I29" s="2" t="s">
        <v>227</v>
      </c>
      <c r="J29" s="2" t="s">
        <v>228</v>
      </c>
      <c r="K29" s="7" t="s">
        <v>229</v>
      </c>
      <c r="L29" s="2" t="s">
        <v>215</v>
      </c>
      <c r="M29" s="2" t="s">
        <v>230</v>
      </c>
      <c r="N29" s="2" t="s">
        <v>26</v>
      </c>
      <c r="O29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"/>
  </cols>
  <sheetData>
    <row r="1" customFormat="false" ht="19.7" hidden="false" customHeight="false" outlineLevel="0" collapsed="false">
      <c r="A1" s="8" t="s">
        <v>232</v>
      </c>
    </row>
    <row r="3" customFormat="false" ht="15" hidden="false" customHeight="false" outlineLevel="0" collapsed="false">
      <c r="A3" s="0" t="s">
        <v>233</v>
      </c>
      <c r="B3" s="0" t="n">
        <v>28</v>
      </c>
    </row>
    <row r="4" customFormat="false" ht="15" hidden="false" customHeight="false" outlineLevel="0" collapsed="false">
      <c r="A4" s="0" t="s">
        <v>234</v>
      </c>
      <c r="B4" s="0" t="n">
        <f aca="false">COUNTIF('Resend Inventory'!L:L,"1")</f>
        <v>25</v>
      </c>
    </row>
    <row r="5" customFormat="false" ht="15" hidden="false" customHeight="false" outlineLevel="0" collapsed="false">
      <c r="A5" s="0" t="s">
        <v>235</v>
      </c>
      <c r="B5" s="0" t="n">
        <f aca="false">COUNTIF('Resend Inventory'!L:L,"2")</f>
        <v>0</v>
      </c>
    </row>
    <row r="6" customFormat="false" ht="15" hidden="false" customHeight="false" outlineLevel="0" collapsed="false">
      <c r="A6" s="0" t="s">
        <v>236</v>
      </c>
      <c r="B6" s="0" t="n">
        <f aca="false">COUNTIF('Resend Inventory'!L:L,"3")</f>
        <v>3</v>
      </c>
    </row>
    <row r="8" customFormat="false" ht="15" hidden="false" customHeight="false" outlineLevel="0" collapsed="false">
      <c r="A8" s="0" t="s">
        <v>237</v>
      </c>
      <c r="B8" s="0" t="n">
        <f aca="false">COUNTIF('Resend Inventory'!K:K,"Critical")</f>
        <v>9</v>
      </c>
    </row>
    <row r="9" customFormat="false" ht="15" hidden="false" customHeight="false" outlineLevel="0" collapsed="false">
      <c r="A9" s="0" t="s">
        <v>238</v>
      </c>
      <c r="B9" s="0" t="n">
        <f aca="false">COUNTIF('Resend Inventory'!K:K,"High")</f>
        <v>13</v>
      </c>
    </row>
    <row r="10" customFormat="false" ht="15" hidden="false" customHeight="false" outlineLevel="0" collapsed="false">
      <c r="A10" s="0" t="s">
        <v>239</v>
      </c>
      <c r="B10" s="0" t="n">
        <f aca="false">COUNTIF('Resend Inventory'!K:K,"Standard")</f>
        <v>5</v>
      </c>
    </row>
    <row r="11" customFormat="false" ht="15" hidden="false" customHeight="false" outlineLevel="0" collapsed="false">
      <c r="A11" s="0" t="s">
        <v>240</v>
      </c>
      <c r="B11" s="0" t="n">
        <f aca="false">COUNTIF('Resend Inventory'!K:K,"Low")</f>
        <v>1</v>
      </c>
    </row>
    <row r="13" customFormat="false" ht="15" hidden="false" customHeight="false" outlineLevel="0" collapsed="false">
      <c r="A13" s="9" t="s">
        <v>241</v>
      </c>
    </row>
    <row r="14" customFormat="false" ht="15" hidden="false" customHeight="false" outlineLevel="0" collapsed="false">
      <c r="A14" s="10" t="s">
        <v>242</v>
      </c>
    </row>
    <row r="15" customFormat="false" ht="15" hidden="false" customHeight="false" outlineLevel="0" collapsed="false">
      <c r="A15" s="10" t="s">
        <v>243</v>
      </c>
    </row>
    <row r="16" customFormat="false" ht="15" hidden="false" customHeight="false" outlineLevel="0" collapsed="false">
      <c r="A16" s="10" t="s">
        <v>244</v>
      </c>
    </row>
    <row r="17" customFormat="false" ht="15" hidden="false" customHeight="false" outlineLevel="0" collapsed="false">
      <c r="A17" s="10" t="s">
        <v>245</v>
      </c>
    </row>
    <row r="18" customFormat="false" ht="15" hidden="false" customHeight="false" outlineLevel="0" collapsed="false">
      <c r="A18" s="10" t="s">
        <v>246</v>
      </c>
    </row>
    <row r="19" customFormat="false" ht="15" hidden="false" customHeight="false" outlineLevel="0" collapsed="false">
      <c r="A19" s="10" t="s">
        <v>247</v>
      </c>
    </row>
    <row r="20" customFormat="false" ht="15" hidden="false" customHeight="false" outlineLevel="0" collapsed="false">
      <c r="A20" s="10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2026-05-24T18:01:24Z</dcterms:created>
  <dc:creator>openpyxl</dc:creator>
  <dc:description/>
  <dc:language>en-US</dc:language>
  <cp:lastModifiedBy/>
  <dcterms:modified xsi:type="dcterms:W3CDTF">2026-05-24T18:01:24Z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