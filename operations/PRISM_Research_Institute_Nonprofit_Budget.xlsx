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nprofit Personnel" sheetId="1" state="visible" r:id="rId3"/>
    <sheet name="Nonprofit Revenue" sheetId="2" state="visible" r:id="rId4"/>
    <sheet name="Nonprofi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<sst xmlns="http://schemas.openxmlformats.org/spreadsheetml/2006/main" count="67" uniqueCount="56">
  <si>
    <t xml:space="preserve">#</t>
  </si>
  <si>
    <t xml:space="preserve">Role</t>
  </si>
  <si>
    <t xml:space="preserve">Count</t>
  </si>
  <si>
    <t xml:space="preserve">Type</t>
  </si>
  <si>
    <t xml:space="preserve">Phase</t>
  </si>
  <si>
    <t xml:space="preserve">Salary Low</t>
  </si>
  <si>
    <t xml:space="preserve">Salary High</t>
  </si>
  <si>
    <t xml:space="preserve">Salary Mid</t>
  </si>
  <si>
    <t xml:space="preserve">Fringe Rate</t>
  </si>
  <si>
    <t xml:space="preserve">Fringe Cost</t>
  </si>
  <si>
    <t xml:space="preserve">Fully Loaded</t>
  </si>
  <si>
    <t xml:space="preserve">Grant Manager / Administrator</t>
  </si>
  <si>
    <t xml:space="preserve">Full-Time</t>
  </si>
  <si>
    <t xml:space="preserve">Yr 1</t>
  </si>
  <si>
    <t xml:space="preserve">Nonprofit Bookkeeper / Payroll</t>
  </si>
  <si>
    <t xml:space="preserve">Part-Time</t>
  </si>
  <si>
    <t xml:space="preserve">Association Director</t>
  </si>
  <si>
    <t xml:space="preserve">Yr 2</t>
  </si>
  <si>
    <t xml:space="preserve">TOTAL NONPROFIT PERSONNEL</t>
  </si>
  <si>
    <t xml:space="preserve">Revenue Stream</t>
  </si>
  <si>
    <t xml:space="preserve">Frequency</t>
  </si>
  <si>
    <t xml:space="preserve">Year 1 Low</t>
  </si>
  <si>
    <t xml:space="preserve">Year 1 High</t>
  </si>
  <si>
    <t xml:space="preserve">Year 1 Mid</t>
  </si>
  <si>
    <t xml:space="preserve">Year 3 Target</t>
  </si>
  <si>
    <t xml:space="preserve">Notes</t>
  </si>
  <si>
    <t xml:space="preserve">Foundation Grants (501c3 required)</t>
  </si>
  <si>
    <t xml:space="preserve">Per cycle</t>
  </si>
  <si>
    <t xml:space="preserve">Grants</t>
  </si>
  <si>
    <t xml:space="preserve">Open Phil, SFF, Sloan, Hewlett</t>
  </si>
  <si>
    <t xml:space="preserve">Federal Grants (nonprofit required)</t>
  </si>
  <si>
    <t xml:space="preserve">Select federal programs</t>
  </si>
  <si>
    <t xml:space="preserve">Individual Donations</t>
  </si>
  <si>
    <t xml:space="preserve">Ongoing</t>
  </si>
  <si>
    <t xml:space="preserve">Donations</t>
  </si>
  <si>
    <t xml:space="preserve">Donate page, campaigns</t>
  </si>
  <si>
    <t xml:space="preserve">Association Dues (Year 2+)</t>
  </si>
  <si>
    <t xml:space="preserve">Annual</t>
  </si>
  <si>
    <t xml:space="preserve">Dues</t>
  </si>
  <si>
    <t xml:space="preserve">Launches Year 2</t>
  </si>
  <si>
    <t xml:space="preserve">TOTAL NONPROFIT REVENUE</t>
  </si>
  <si>
    <t xml:space="preserve">PRISM RESEARCH INSTITUTE 501(c)(3)</t>
  </si>
  <si>
    <t xml:space="preserve">Financial Summary</t>
  </si>
  <si>
    <t xml:space="preserve">Low</t>
  </si>
  <si>
    <t xml:space="preserve">High</t>
  </si>
  <si>
    <t xml:space="preserve">Mid</t>
  </si>
  <si>
    <t xml:space="preserve">EXPENSES</t>
  </si>
  <si>
    <t xml:space="preserve">Personnel (3 roles, fully loaded at 25%)</t>
  </si>
  <si>
    <t xml:space="preserve">Nonprofit Operations (admin, filing, insurance)</t>
  </si>
  <si>
    <t xml:space="preserve">Contract Payments to PBC (grant-funded research)</t>
  </si>
  <si>
    <t xml:space="preserve">TOTAL NONPROFIT EXPENSES</t>
  </si>
  <si>
    <t xml:space="preserve">REVENUE</t>
  </si>
  <si>
    <t xml:space="preserve">NET (Revenue minus Expenses)</t>
  </si>
  <si>
    <t xml:space="preserve">NOTE: Net surplus funds research contracts to the PBC.</t>
  </si>
  <si>
    <t xml:space="preserve">The "Contract Payments to PBC" expense line = the PBC "Contract Revenue from Nonprofit" line.</t>
  </si>
  <si>
    <t xml:space="preserve">When you set one, update the other to match.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</si>
</sst>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339933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E8E8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33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n">
        <v>1</v>
      </c>
      <c r="D2" s="2" t="s">
        <v>12</v>
      </c>
      <c r="E2" s="2" t="s">
        <v>13</v>
      </c>
      <c r="F2" s="3" t="n">
        <v>90000</v>
      </c>
      <c r="G2" s="3" t="n">
        <v>130000</v>
      </c>
      <c r="H2" s="4" t="n">
        <f aca="false">AVERAGE(F2,G2)</f>
        <v>110000</v>
      </c>
      <c r="I2" s="5" t="n">
        <v>0.25</v>
      </c>
      <c r="J2" s="4" t="n">
        <f aca="false">H2*I2</f>
        <v>27500</v>
      </c>
      <c r="K2" s="4" t="n">
        <f aca="false">H2+J2</f>
        <v>137500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n">
        <v>1</v>
      </c>
      <c r="D3" s="2" t="s">
        <v>15</v>
      </c>
      <c r="E3" s="2" t="s">
        <v>13</v>
      </c>
      <c r="F3" s="3" t="n">
        <v>45000</v>
      </c>
      <c r="G3" s="3" t="n">
        <v>65000</v>
      </c>
      <c r="H3" s="4" t="n">
        <f aca="false">AVERAGE(F3,G3)</f>
        <v>55000</v>
      </c>
      <c r="I3" s="5" t="n">
        <v>0.25</v>
      </c>
      <c r="J3" s="4" t="n">
        <f aca="false">H3*I3</f>
        <v>13750</v>
      </c>
      <c r="K3" s="4" t="n">
        <f aca="false">H3+J3</f>
        <v>68750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n">
        <v>1</v>
      </c>
      <c r="D4" s="2" t="s">
        <v>12</v>
      </c>
      <c r="E4" s="2" t="s">
        <v>17</v>
      </c>
      <c r="F4" s="3" t="n">
        <v>110000</v>
      </c>
      <c r="G4" s="3" t="n">
        <v>150000</v>
      </c>
      <c r="H4" s="4" t="n">
        <f aca="false">AVERAGE(F4,G4)</f>
        <v>130000</v>
      </c>
      <c r="I4" s="5" t="n">
        <v>0.25</v>
      </c>
      <c r="J4" s="4" t="n">
        <f aca="false">H4*I4</f>
        <v>32500</v>
      </c>
      <c r="K4" s="4" t="n">
        <f aca="false">H4+J4</f>
        <v>162500</v>
      </c>
    </row>
    <row r="5" customFormat="false" ht="15" hidden="false" customHeight="false" outlineLevel="0" collapsed="false">
      <c r="B5" s="6" t="s">
        <v>18</v>
      </c>
      <c r="K5" s="7" t="n">
        <f aca="false">SUM(K2:K4)</f>
        <v>368750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8" min="8" style="0" width="16"/>
    <col collapsed="false" customWidth="true" hidden="false" outlineLevel="0" max="9" min="9" style="0" width="35"/>
  </cols>
  <sheetData>
    <row r="1" customFormat="false" ht="26.85" hidden="false" customHeight="false" outlineLevel="0" collapsed="false">
      <c r="A1" s="1" t="s">
        <v>0</v>
      </c>
      <c r="B1" s="1" t="s">
        <v>19</v>
      </c>
      <c r="C1" s="1" t="s">
        <v>20</v>
      </c>
      <c r="D1" s="1" t="s">
        <v>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customFormat="false" ht="15" hidden="false" customHeight="false" outlineLevel="0" collapsed="false">
      <c r="A2" s="2" t="n">
        <v>1</v>
      </c>
      <c r="B2" s="2" t="s">
        <v>26</v>
      </c>
      <c r="C2" s="2" t="s">
        <v>27</v>
      </c>
      <c r="D2" s="2" t="s">
        <v>28</v>
      </c>
      <c r="E2" s="3" t="n">
        <v>500000</v>
      </c>
      <c r="F2" s="3" t="n">
        <v>2000000</v>
      </c>
      <c r="G2" s="4" t="n">
        <f aca="false">AVERAGE(E2,F2)</f>
        <v>1250000</v>
      </c>
      <c r="H2" s="3" t="n">
        <v>0</v>
      </c>
      <c r="I2" s="2" t="s">
        <v>29</v>
      </c>
    </row>
    <row r="3" customFormat="false" ht="15" hidden="false" customHeight="false" outlineLevel="0" collapsed="false">
      <c r="A3" s="2" t="n">
        <v>2</v>
      </c>
      <c r="B3" s="2" t="s">
        <v>30</v>
      </c>
      <c r="C3" s="2" t="s">
        <v>27</v>
      </c>
      <c r="D3" s="2" t="s">
        <v>28</v>
      </c>
      <c r="E3" s="3" t="n">
        <v>250000</v>
      </c>
      <c r="F3" s="3" t="n">
        <v>1000000</v>
      </c>
      <c r="G3" s="4" t="n">
        <f aca="false">AVERAGE(E3,F3)</f>
        <v>625000</v>
      </c>
      <c r="H3" s="3" t="n">
        <v>0</v>
      </c>
      <c r="I3" s="2" t="s">
        <v>31</v>
      </c>
    </row>
    <row r="4" customFormat="false" ht="15" hidden="false" customHeight="false" outlineLevel="0" collapsed="false">
      <c r="A4" s="2" t="n">
        <v>3</v>
      </c>
      <c r="B4" s="2" t="s">
        <v>32</v>
      </c>
      <c r="C4" s="2" t="s">
        <v>33</v>
      </c>
      <c r="D4" s="2" t="s">
        <v>34</v>
      </c>
      <c r="E4" s="3" t="n">
        <v>50000</v>
      </c>
      <c r="F4" s="3" t="n">
        <v>200000</v>
      </c>
      <c r="G4" s="4" t="n">
        <f aca="false">AVERAGE(E4,F4)</f>
        <v>125000</v>
      </c>
      <c r="H4" s="3" t="n">
        <v>0</v>
      </c>
      <c r="I4" s="2" t="s">
        <v>35</v>
      </c>
    </row>
    <row r="5" customFormat="false" ht="15" hidden="false" customHeight="false" outlineLevel="0" collapsed="false">
      <c r="A5" s="2" t="n">
        <v>4</v>
      </c>
      <c r="B5" s="2" t="s">
        <v>36</v>
      </c>
      <c r="C5" s="2" t="s">
        <v>37</v>
      </c>
      <c r="D5" s="2" t="s">
        <v>38</v>
      </c>
      <c r="E5" s="3" t="n">
        <v>0</v>
      </c>
      <c r="F5" s="3" t="n">
        <v>0</v>
      </c>
      <c r="G5" s="4" t="n">
        <f aca="false">AVERAGE(E5,F5)</f>
        <v>0</v>
      </c>
      <c r="H5" s="3" t="n">
        <v>0</v>
      </c>
      <c r="I5" s="2" t="s">
        <v>39</v>
      </c>
    </row>
    <row r="6" customFormat="false" ht="15" hidden="false" customHeight="false" outlineLevel="0" collapsed="false">
      <c r="B6" s="6" t="s">
        <v>40</v>
      </c>
      <c r="E6" s="7" t="n">
        <f aca="false">SUM(E2:E5)</f>
        <v>800000</v>
      </c>
      <c r="F6" s="7" t="n">
        <f aca="false">SUM(F2:F5)</f>
        <v>3200000</v>
      </c>
      <c r="G6" s="7" t="n">
        <f aca="false">SUM(G2:G5)</f>
        <v>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8" t="s">
        <v>41</v>
      </c>
    </row>
    <row r="2" customFormat="false" ht="15" hidden="false" customHeight="false" outlineLevel="0" collapsed="false">
      <c r="A2" s="9" t="s">
        <v>42</v>
      </c>
    </row>
    <row r="4" customFormat="false" ht="15" hidden="false" customHeight="false" outlineLevel="0" collapsed="false">
      <c r="A4" s="1"/>
      <c r="B4" s="1" t="s">
        <v>43</v>
      </c>
      <c r="C4" s="1" t="s">
        <v>44</v>
      </c>
      <c r="D4" s="1" t="s">
        <v>45</v>
      </c>
    </row>
    <row r="5" customFormat="false" ht="15" hidden="false" customHeight="false" outlineLevel="0" collapsed="false">
      <c r="A5" s="10" t="s">
        <v>46</v>
      </c>
      <c r="B5" s="10"/>
      <c r="C5" s="10"/>
      <c r="D5" s="10"/>
    </row>
    <row r="6" customFormat="false" ht="15" hidden="false" customHeight="false" outlineLevel="0" collapsed="false">
      <c r="A6" s="11" t="s">
        <v>47</v>
      </c>
      <c r="B6" s="11" t="n">
        <f aca="false">'Nonprofit Personnel'!K5</f>
        <v>368750</v>
      </c>
      <c r="C6" s="11" t="n">
        <f aca="false">'Nonprofit Personnel'!K5</f>
        <v>368750</v>
      </c>
      <c r="D6" s="11" t="n">
        <f aca="false">'Nonprofit Personnel'!K5</f>
        <v>368750</v>
      </c>
    </row>
    <row r="7" customFormat="false" ht="15" hidden="false" customHeight="false" outlineLevel="0" collapsed="false">
      <c r="A7" s="11" t="s">
        <v>48</v>
      </c>
      <c r="B7" s="11" t="n">
        <v>25000</v>
      </c>
      <c r="C7" s="11" t="n">
        <v>50000</v>
      </c>
      <c r="D7" s="11" t="n">
        <f aca="false">AVERAGE(B7,C7)</f>
        <v>37500</v>
      </c>
    </row>
    <row r="8" customFormat="false" ht="15" hidden="false" customHeight="false" outlineLevel="0" collapsed="false">
      <c r="A8" s="11" t="s">
        <v>49</v>
      </c>
      <c r="B8" s="11" t="n">
        <v>0</v>
      </c>
      <c r="C8" s="11" t="n">
        <v>0</v>
      </c>
      <c r="D8" s="11" t="n">
        <v>0</v>
      </c>
    </row>
    <row r="9" customFormat="false" ht="15" hidden="false" customHeight="false" outlineLevel="0" collapsed="false">
      <c r="A9" s="12" t="s">
        <v>50</v>
      </c>
      <c r="B9" s="12" t="n">
        <f aca="false">B6+B7+B8</f>
        <v>393750</v>
      </c>
      <c r="C9" s="12" t="n">
        <f aca="false">C6+C7+C8</f>
        <v>418750</v>
      </c>
      <c r="D9" s="12" t="n">
        <f aca="false">D6+D7+D8</f>
        <v>406250</v>
      </c>
    </row>
    <row r="11" customFormat="false" ht="15" hidden="false" customHeight="false" outlineLevel="0" collapsed="false">
      <c r="A11" s="10" t="s">
        <v>51</v>
      </c>
      <c r="B11" s="10"/>
      <c r="C11" s="10"/>
      <c r="D11" s="10"/>
    </row>
    <row r="12" customFormat="false" ht="15" hidden="false" customHeight="false" outlineLevel="0" collapsed="false">
      <c r="A12" s="11" t="s">
        <v>26</v>
      </c>
      <c r="B12" s="11" t="n">
        <f aca="false">'Nonprofit Revenue'!E2</f>
        <v>500000</v>
      </c>
      <c r="C12" s="11" t="n">
        <f aca="false">'Nonprofit Revenue'!F2</f>
        <v>2000000</v>
      </c>
      <c r="D12" s="11" t="n">
        <f aca="false">'Nonprofit Revenue'!G2</f>
        <v>1250000</v>
      </c>
    </row>
    <row r="13" customFormat="false" ht="15" hidden="false" customHeight="false" outlineLevel="0" collapsed="false">
      <c r="A13" s="11" t="s">
        <v>30</v>
      </c>
      <c r="B13" s="11" t="n">
        <f aca="false">'Nonprofit Revenue'!E3</f>
        <v>250000</v>
      </c>
      <c r="C13" s="11" t="n">
        <f aca="false">'Nonprofit Revenue'!F3</f>
        <v>1000000</v>
      </c>
      <c r="D13" s="11" t="n">
        <f aca="false">'Nonprofit Revenue'!G3</f>
        <v>625000</v>
      </c>
    </row>
    <row r="14" customFormat="false" ht="15" hidden="false" customHeight="false" outlineLevel="0" collapsed="false">
      <c r="A14" s="11" t="s">
        <v>32</v>
      </c>
      <c r="B14" s="11" t="n">
        <f aca="false">'Nonprofit Revenue'!E4</f>
        <v>50000</v>
      </c>
      <c r="C14" s="11" t="n">
        <f aca="false">'Nonprofit Revenue'!F4</f>
        <v>200000</v>
      </c>
      <c r="D14" s="11" t="n">
        <f aca="false">'Nonprofit Revenue'!G4</f>
        <v>125000</v>
      </c>
    </row>
    <row r="15" customFormat="false" ht="15" hidden="false" customHeight="false" outlineLevel="0" collapsed="false">
      <c r="A15" s="11" t="s">
        <v>36</v>
      </c>
      <c r="B15" s="11" t="n">
        <f aca="false">'Nonprofit Revenue'!E5</f>
        <v>0</v>
      </c>
      <c r="C15" s="11" t="n">
        <f aca="false">'Nonprofit Revenue'!F5</f>
        <v>0</v>
      </c>
      <c r="D15" s="11" t="n">
        <f aca="false">'Nonprofit Revenue'!G5</f>
        <v>0</v>
      </c>
    </row>
    <row r="16" customFormat="false" ht="15" hidden="false" customHeight="false" outlineLevel="0" collapsed="false">
      <c r="A16" s="12" t="s">
        <v>40</v>
      </c>
      <c r="B16" s="12" t="n">
        <f aca="false">B12+B13+B14+B15</f>
        <v>800000</v>
      </c>
      <c r="C16" s="12" t="n">
        <f aca="false">C12+C13+C14+C15</f>
        <v>3200000</v>
      </c>
      <c r="D16" s="12" t="n">
        <f aca="false">D12+D13+D14+D15</f>
        <v>2000000</v>
      </c>
    </row>
    <row r="18" customFormat="false" ht="15" hidden="false" customHeight="false" outlineLevel="0" collapsed="false">
      <c r="A18" s="12" t="s">
        <v>52</v>
      </c>
      <c r="B18" s="12" t="n">
        <f aca="false">B16-B9</f>
        <v>406250</v>
      </c>
      <c r="C18" s="12" t="n">
        <f aca="false">C16-C9</f>
        <v>2781250</v>
      </c>
      <c r="D18" s="12" t="n">
        <f aca="false">D16-D9</f>
        <v>1593750</v>
      </c>
    </row>
    <row r="20" customFormat="false" ht="15" hidden="false" customHeight="false" outlineLevel="0" collapsed="false">
      <c r="A20" s="13" t="s">
        <v>53</v>
      </c>
    </row>
    <row r="21" customFormat="false" ht="15" hidden="false" customHeight="false" outlineLevel="0" collapsed="false">
      <c r="A21" s="13" t="s">
        <v>54</v>
      </c>
    </row>
    <row r="22" customFormat="false" ht="15" hidden="false" customHeight="false" outlineLevel="0" collapsed="false">
      <c r="A22" s="1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2026-05-19T02:02:17Z</dcterms:created>
  <dc:creator>openpyxl</dc:creator>
  <dc:description/>
  <dc:language>en-US</dc:language>
  <cp:lastModifiedBy/>
  <dcterms:modified xsi:type="dcterms:W3CDTF">2026-05-19T02:02:17Z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