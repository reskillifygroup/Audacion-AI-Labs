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Personnel" sheetId="1" state="visible" r:id="rId1"/>
    <sheet xmlns:r="http://schemas.openxmlformats.org/officeDocument/2006/relationships" name="PBC Operations" sheetId="2" state="visible" r:id="rId2"/>
    <sheet xmlns:r="http://schemas.openxmlformats.org/officeDocument/2006/relationships" name="PBC Revenue" sheetId="3" state="visible" r:id="rId3"/>
    <sheet xmlns:r="http://schemas.openxmlformats.org/officeDocument/2006/relationships" name="PBC Summary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2E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A1A2E"/>
      <sz val="14"/>
    </font>
    <font>
      <name val="Arial"/>
      <charset val="1"/>
      <family val="0"/>
      <b val="1"/>
      <color rgb="FF333333"/>
      <sz val="12"/>
    </font>
  </fonts>
  <fills count="4">
    <fill>
      <patternFill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 wrapText="1"/>
    </xf>
    <xf numFmtId="0" fontId="5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 wrapText="1"/>
    </xf>
    <xf numFmtId="0" fontId="5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1A2E"/>
    <outlinePr summaryBelow="1" summaryRight="1"/>
    <pageSetUpPr fitToPage="0"/>
  </sheetPr>
  <dimension ref="A1:J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38" customWidth="1" style="18" min="2" max="2"/>
    <col width="14" customWidth="1" style="18" min="3" max="5"/>
    <col width="8" customWidth="1" style="18" min="6" max="6"/>
    <col width="10" customWidth="1" style="18" min="7" max="7"/>
    <col width="14" customWidth="1" style="18" min="8" max="10"/>
  </cols>
  <sheetData>
    <row r="1" ht="15" customHeight="1" s="19">
      <c r="A1" s="20" t="inlineStr">
        <is>
          <t>#</t>
        </is>
      </c>
      <c r="B1" s="20" t="inlineStr">
        <is>
          <t>Role</t>
        </is>
      </c>
      <c r="C1" s="20" t="inlineStr">
        <is>
          <t>Salary Mid</t>
        </is>
      </c>
      <c r="D1" s="20" t="inlineStr">
        <is>
          <t>Fringe 25%</t>
        </is>
      </c>
      <c r="E1" s="20" t="inlineStr">
        <is>
          <t>Fully Loaded</t>
        </is>
      </c>
      <c r="F1" s="20" t="inlineStr">
        <is>
          <t>Phase</t>
        </is>
      </c>
      <c r="G1" s="20" t="inlineStr">
        <is>
          <t>Start Mo</t>
        </is>
      </c>
      <c r="H1" s="20" t="inlineStr">
        <is>
          <t>Year 1 Cost</t>
        </is>
      </c>
      <c r="I1" s="20" t="inlineStr">
        <is>
          <t>Year 2 Cost</t>
        </is>
      </c>
      <c r="J1" s="20" t="inlineStr">
        <is>
          <t>Year 3 Cost</t>
        </is>
      </c>
    </row>
    <row r="2" ht="15" customHeight="1" s="19">
      <c r="A2" s="21" t="n"/>
      <c r="B2" s="21" t="inlineStr">
        <is>
          <t>LEADERSHIP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" customHeight="1" s="19">
      <c r="A3" s="22" t="n">
        <v>1</v>
      </c>
      <c r="B3" s="22" t="inlineStr">
        <is>
          <t>Founder and CEO (Dee Williams)</t>
        </is>
      </c>
      <c r="C3" s="23" t="n">
        <v>250000</v>
      </c>
      <c r="D3" s="24">
        <f>C3*0.25</f>
        <v/>
      </c>
      <c r="E3" s="24">
        <f>C3+D3</f>
        <v/>
      </c>
      <c r="F3" s="22" t="inlineStr">
        <is>
          <t>Now</t>
        </is>
      </c>
      <c r="G3" s="25" t="n">
        <v>1</v>
      </c>
      <c r="H3" s="24">
        <f>E3*12/12</f>
        <v/>
      </c>
      <c r="I3" s="24">
        <f>E3</f>
        <v/>
      </c>
      <c r="J3" s="24">
        <f>E3</f>
        <v/>
      </c>
    </row>
    <row r="4" ht="15" customHeight="1" s="19">
      <c r="A4" s="22" t="n">
        <v>2</v>
      </c>
      <c r="B4" s="22" t="inlineStr">
        <is>
          <t>Chief Science Officer</t>
        </is>
      </c>
      <c r="C4" s="23" t="n">
        <v>300000</v>
      </c>
      <c r="D4" s="24">
        <f>C4*0.25</f>
        <v/>
      </c>
      <c r="E4" s="24">
        <f>C4+D4</f>
        <v/>
      </c>
      <c r="F4" s="22" t="inlineStr">
        <is>
          <t>Yr 2</t>
        </is>
      </c>
      <c r="G4" s="25" t="n"/>
      <c r="H4" s="24" t="n">
        <v>0</v>
      </c>
      <c r="I4" s="24">
        <f>E4*6/12</f>
        <v/>
      </c>
      <c r="J4" s="24">
        <f>E4</f>
        <v/>
      </c>
    </row>
    <row r="5" ht="15" customHeight="1" s="19">
      <c r="A5" s="22" t="n">
        <v>3</v>
      </c>
      <c r="B5" s="22" t="inlineStr">
        <is>
          <t>Chief of Staff to CEO</t>
        </is>
      </c>
      <c r="C5" s="23" t="n">
        <v>175000</v>
      </c>
      <c r="D5" s="24">
        <f>C5*0.25</f>
        <v/>
      </c>
      <c r="E5" s="24">
        <f>C5+D5</f>
        <v/>
      </c>
      <c r="F5" s="22" t="inlineStr">
        <is>
          <t>Yr 2</t>
        </is>
      </c>
      <c r="G5" s="25" t="n"/>
      <c r="H5" s="24" t="n">
        <v>0</v>
      </c>
      <c r="I5" s="24">
        <f>E5*6/12</f>
        <v/>
      </c>
      <c r="J5" s="24">
        <f>E5</f>
        <v/>
      </c>
    </row>
    <row r="6" ht="15" customHeight="1" s="19">
      <c r="A6" s="21" t="n"/>
      <c r="B6" s="21" t="inlineStr">
        <is>
          <t>RESEARCH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</row>
    <row r="7" ht="15" customHeight="1" s="19">
      <c r="A7" s="22" t="n">
        <v>4</v>
      </c>
      <c r="B7" s="22" t="inlineStr">
        <is>
          <t>Director of Research</t>
        </is>
      </c>
      <c r="C7" s="23" t="n">
        <v>260000</v>
      </c>
      <c r="D7" s="24">
        <f>C7*0.25</f>
        <v/>
      </c>
      <c r="E7" s="24">
        <f>C7+D7</f>
        <v/>
      </c>
      <c r="F7" s="22" t="inlineStr">
        <is>
          <t>Yr 1</t>
        </is>
      </c>
      <c r="G7" s="25" t="n">
        <v>1</v>
      </c>
      <c r="H7" s="24">
        <f>E7*12/12</f>
        <v/>
      </c>
      <c r="I7" s="24">
        <f>E7</f>
        <v/>
      </c>
      <c r="J7" s="24">
        <f>E7</f>
        <v/>
      </c>
    </row>
    <row r="8" ht="15" customHeight="1" s="19">
      <c r="A8" s="22" t="n">
        <v>5</v>
      </c>
      <c r="B8" s="22" t="inlineStr">
        <is>
          <t>Pillar Lead: Post-Deployment Behavior</t>
        </is>
      </c>
      <c r="C8" s="23" t="n">
        <v>200000</v>
      </c>
      <c r="D8" s="24">
        <f>C8*0.25</f>
        <v/>
      </c>
      <c r="E8" s="24">
        <f>C8+D8</f>
        <v/>
      </c>
      <c r="F8" s="22" t="inlineStr">
        <is>
          <t>Yr 1</t>
        </is>
      </c>
      <c r="G8" s="25" t="n">
        <v>3</v>
      </c>
      <c r="H8" s="24">
        <f>E8*10/12</f>
        <v/>
      </c>
      <c r="I8" s="24">
        <f>E8</f>
        <v/>
      </c>
      <c r="J8" s="24">
        <f>E8</f>
        <v/>
      </c>
    </row>
    <row r="9" ht="15" customHeight="1" s="19">
      <c r="A9" s="22" t="n">
        <v>6</v>
      </c>
      <c r="B9" s="22" t="inlineStr">
        <is>
          <t>Pillar Lead: Runtime Research</t>
        </is>
      </c>
      <c r="C9" s="23" t="n">
        <v>200000</v>
      </c>
      <c r="D9" s="24">
        <f>C9*0.25</f>
        <v/>
      </c>
      <c r="E9" s="24">
        <f>C9+D9</f>
        <v/>
      </c>
      <c r="F9" s="22" t="inlineStr">
        <is>
          <t>Yr 1</t>
        </is>
      </c>
      <c r="G9" s="25" t="n">
        <v>3</v>
      </c>
      <c r="H9" s="24">
        <f>E9*10/12</f>
        <v/>
      </c>
      <c r="I9" s="24">
        <f>E9</f>
        <v/>
      </c>
      <c r="J9" s="24">
        <f>E9</f>
        <v/>
      </c>
    </row>
    <row r="10" ht="15" customHeight="1" s="19">
      <c r="A10" s="22" t="n">
        <v>7</v>
      </c>
      <c r="B10" s="22" t="inlineStr">
        <is>
          <t>Pillar Lead: Interaction Dynamics</t>
        </is>
      </c>
      <c r="C10" s="23" t="n">
        <v>200000</v>
      </c>
      <c r="D10" s="24">
        <f>C10*0.25</f>
        <v/>
      </c>
      <c r="E10" s="24">
        <f>C10+D10</f>
        <v/>
      </c>
      <c r="F10" s="22" t="inlineStr">
        <is>
          <t>Yr 1</t>
        </is>
      </c>
      <c r="G10" s="25" t="n">
        <v>4</v>
      </c>
      <c r="H10" s="24">
        <f>E10*9/12</f>
        <v/>
      </c>
      <c r="I10" s="24">
        <f>E10</f>
        <v/>
      </c>
      <c r="J10" s="24">
        <f>E10</f>
        <v/>
      </c>
    </row>
    <row r="11" ht="15" customHeight="1" s="19">
      <c r="A11" s="22" t="n">
        <v>8</v>
      </c>
      <c r="B11" s="22" t="inlineStr">
        <is>
          <t>Pillar Lead: Substrate Governance</t>
        </is>
      </c>
      <c r="C11" s="23" t="n">
        <v>200000</v>
      </c>
      <c r="D11" s="24">
        <f>C11*0.25</f>
        <v/>
      </c>
      <c r="E11" s="24">
        <f>C11+D11</f>
        <v/>
      </c>
      <c r="F11" s="22" t="inlineStr">
        <is>
          <t>Yr 1</t>
        </is>
      </c>
      <c r="G11" s="25" t="n">
        <v>4</v>
      </c>
      <c r="H11" s="24">
        <f>E11*9/12</f>
        <v/>
      </c>
      <c r="I11" s="24">
        <f>E11</f>
        <v/>
      </c>
      <c r="J11" s="24">
        <f>E11</f>
        <v/>
      </c>
    </row>
    <row r="12" ht="15" customHeight="1" s="19">
      <c r="A12" s="22" t="n">
        <v>9</v>
      </c>
      <c r="B12" s="22" t="inlineStr">
        <is>
          <t>Pillar Lead: Multi-Agent Safety</t>
        </is>
      </c>
      <c r="C12" s="23" t="n">
        <v>200000</v>
      </c>
      <c r="D12" s="24">
        <f>C12*0.25</f>
        <v/>
      </c>
      <c r="E12" s="24">
        <f>C12+D12</f>
        <v/>
      </c>
      <c r="F12" s="22" t="inlineStr">
        <is>
          <t>Yr 1</t>
        </is>
      </c>
      <c r="G12" s="25" t="n">
        <v>6</v>
      </c>
      <c r="H12" s="24">
        <f>E12*7/12</f>
        <v/>
      </c>
      <c r="I12" s="24">
        <f>E12</f>
        <v/>
      </c>
      <c r="J12" s="24">
        <f>E12</f>
        <v/>
      </c>
    </row>
    <row r="13" ht="15" customHeight="1" s="19">
      <c r="A13" s="22" t="n">
        <v>10</v>
      </c>
      <c r="B13" s="22" t="inlineStr">
        <is>
          <t>Research Analyst 1</t>
        </is>
      </c>
      <c r="C13" s="23" t="n">
        <v>115000</v>
      </c>
      <c r="D13" s="24">
        <f>C13*0.25</f>
        <v/>
      </c>
      <c r="E13" s="24">
        <f>C13+D13</f>
        <v/>
      </c>
      <c r="F13" s="22" t="inlineStr">
        <is>
          <t>Yr 1</t>
        </is>
      </c>
      <c r="G13" s="25" t="n">
        <v>4</v>
      </c>
      <c r="H13" s="24">
        <f>E13*9/12</f>
        <v/>
      </c>
      <c r="I13" s="24">
        <f>E13</f>
        <v/>
      </c>
      <c r="J13" s="24">
        <f>E13</f>
        <v/>
      </c>
    </row>
    <row r="14" ht="15" customHeight="1" s="19">
      <c r="A14" s="22" t="n">
        <v>11</v>
      </c>
      <c r="B14" s="22" t="inlineStr">
        <is>
          <t>Research Analyst 2</t>
        </is>
      </c>
      <c r="C14" s="23" t="n">
        <v>115000</v>
      </c>
      <c r="D14" s="24">
        <f>C14*0.25</f>
        <v/>
      </c>
      <c r="E14" s="24">
        <f>C14+D14</f>
        <v/>
      </c>
      <c r="F14" s="22" t="inlineStr">
        <is>
          <t>Yr 1</t>
        </is>
      </c>
      <c r="G14" s="25" t="n">
        <v>6</v>
      </c>
      <c r="H14" s="24">
        <f>E14*7/12</f>
        <v/>
      </c>
      <c r="I14" s="24">
        <f>E14</f>
        <v/>
      </c>
      <c r="J14" s="24">
        <f>E14</f>
        <v/>
      </c>
    </row>
    <row r="15" ht="15" customHeight="1" s="19">
      <c r="A15" s="22" t="n">
        <v>12</v>
      </c>
      <c r="B15" s="22" t="inlineStr">
        <is>
          <t>Research Analyst 3</t>
        </is>
      </c>
      <c r="C15" s="23" t="n">
        <v>115000</v>
      </c>
      <c r="D15" s="24">
        <f>C15*0.25</f>
        <v/>
      </c>
      <c r="E15" s="24">
        <f>C15+D15</f>
        <v/>
      </c>
      <c r="F15" s="22" t="inlineStr">
        <is>
          <t>Yr 1</t>
        </is>
      </c>
      <c r="G15" s="25" t="n">
        <v>9</v>
      </c>
      <c r="H15" s="24">
        <f>E15*4/12</f>
        <v/>
      </c>
      <c r="I15" s="24">
        <f>E15</f>
        <v/>
      </c>
      <c r="J15" s="24">
        <f>E15</f>
        <v/>
      </c>
    </row>
    <row r="16" ht="15" customHeight="1" s="19">
      <c r="A16" s="22" t="n">
        <v>13</v>
      </c>
      <c r="B16" s="22" t="inlineStr">
        <is>
          <t>Research Program Manager</t>
        </is>
      </c>
      <c r="C16" s="23" t="n">
        <v>140000</v>
      </c>
      <c r="D16" s="24">
        <f>C16*0.25</f>
        <v/>
      </c>
      <c r="E16" s="24">
        <f>C16+D16</f>
        <v/>
      </c>
      <c r="F16" s="22" t="inlineStr">
        <is>
          <t>Yr 1</t>
        </is>
      </c>
      <c r="G16" s="25" t="n">
        <v>3</v>
      </c>
      <c r="H16" s="24">
        <f>E16*10/12</f>
        <v/>
      </c>
      <c r="I16" s="24">
        <f>E16</f>
        <v/>
      </c>
      <c r="J16" s="24">
        <f>E16</f>
        <v/>
      </c>
    </row>
    <row r="17" ht="15" customHeight="1" s="19">
      <c r="A17" s="22" t="n">
        <v>14</v>
      </c>
      <c r="B17" s="22" t="inlineStr">
        <is>
          <t>Research Editor</t>
        </is>
      </c>
      <c r="C17" s="23" t="n">
        <v>103000</v>
      </c>
      <c r="D17" s="24">
        <f>C17*0.25</f>
        <v/>
      </c>
      <c r="E17" s="24">
        <f>C17+D17</f>
        <v/>
      </c>
      <c r="F17" s="22" t="inlineStr">
        <is>
          <t>Yr 1</t>
        </is>
      </c>
      <c r="G17" s="25" t="n">
        <v>6</v>
      </c>
      <c r="H17" s="24">
        <f>E17*7/12</f>
        <v/>
      </c>
      <c r="I17" s="24">
        <f>E17</f>
        <v/>
      </c>
      <c r="J17" s="24">
        <f>E17</f>
        <v/>
      </c>
    </row>
    <row r="18" ht="15" customHeight="1" s="19">
      <c r="A18" s="22" t="n">
        <v>15</v>
      </c>
      <c r="B18" s="22" t="inlineStr">
        <is>
          <t>Behavioral Health Adviser (PT)</t>
        </is>
      </c>
      <c r="C18" s="23" t="n">
        <v>50000</v>
      </c>
      <c r="D18" s="24">
        <f>C18*0.25</f>
        <v/>
      </c>
      <c r="E18" s="24">
        <f>C18+D18</f>
        <v/>
      </c>
      <c r="F18" s="22" t="inlineStr">
        <is>
          <t>Yr 1</t>
        </is>
      </c>
      <c r="G18" s="25" t="n">
        <v>6</v>
      </c>
      <c r="H18" s="24">
        <f>E18*7/12</f>
        <v/>
      </c>
      <c r="I18" s="24">
        <f>E18</f>
        <v/>
      </c>
      <c r="J18" s="24">
        <f>E18</f>
        <v/>
      </c>
    </row>
    <row r="19" ht="15" customHeight="1" s="19">
      <c r="A19" s="22" t="n">
        <v>16</v>
      </c>
      <c r="B19" s="22" t="inlineStr">
        <is>
          <t>Data Scientist / ML Engineer</t>
        </is>
      </c>
      <c r="C19" s="23" t="n">
        <v>190000</v>
      </c>
      <c r="D19" s="24">
        <f>C19*0.25</f>
        <v/>
      </c>
      <c r="E19" s="24">
        <f>C19+D19</f>
        <v/>
      </c>
      <c r="F19" s="22" t="inlineStr">
        <is>
          <t>Yr 2</t>
        </is>
      </c>
      <c r="G19" s="25" t="n"/>
      <c r="H19" s="24" t="n">
        <v>0</v>
      </c>
      <c r="I19" s="24">
        <f>E19*6/12</f>
        <v/>
      </c>
      <c r="J19" s="24">
        <f>E19</f>
        <v/>
      </c>
    </row>
    <row r="20" ht="15" customHeight="1" s="19">
      <c r="A20" s="22" t="n">
        <v>17</v>
      </c>
      <c r="B20" s="22" t="inlineStr">
        <is>
          <t>IRB / Research Ethics Officer (Consultant)</t>
        </is>
      </c>
      <c r="C20" s="23" t="n">
        <v>40000</v>
      </c>
      <c r="D20" s="24">
        <f>C20*0.25</f>
        <v/>
      </c>
      <c r="E20" s="24">
        <f>C20+D20</f>
        <v/>
      </c>
      <c r="F20" s="22" t="inlineStr">
        <is>
          <t>Yr 1</t>
        </is>
      </c>
      <c r="G20" s="25" t="n">
        <v>3</v>
      </c>
      <c r="H20" s="24">
        <f>E20*10/12</f>
        <v/>
      </c>
      <c r="I20" s="24">
        <f>E20</f>
        <v/>
      </c>
      <c r="J20" s="24">
        <f>E20</f>
        <v/>
      </c>
    </row>
    <row r="21" ht="15" customHeight="1" s="19">
      <c r="A21" s="21" t="n"/>
      <c r="B21" s="21" t="inlineStr">
        <is>
          <t>TECHNOLOGY</t>
        </is>
      </c>
      <c r="C21" s="21" t="n"/>
      <c r="D21" s="21" t="n"/>
      <c r="E21" s="21" t="n"/>
      <c r="F21" s="21" t="n"/>
      <c r="G21" s="21" t="n"/>
      <c r="H21" s="21" t="n"/>
      <c r="I21" s="21" t="n"/>
      <c r="J21" s="21" t="n"/>
    </row>
    <row r="22" ht="15" customHeight="1" s="19">
      <c r="A22" s="22" t="n">
        <v>18</v>
      </c>
      <c r="B22" s="22" t="inlineStr">
        <is>
          <t>Lead Engineer</t>
        </is>
      </c>
      <c r="C22" s="23" t="n">
        <v>238000</v>
      </c>
      <c r="D22" s="24">
        <f>C22*0.25</f>
        <v/>
      </c>
      <c r="E22" s="24">
        <f>C22+D22</f>
        <v/>
      </c>
      <c r="F22" s="22" t="inlineStr">
        <is>
          <t>Yr 1</t>
        </is>
      </c>
      <c r="G22" s="25" t="n">
        <v>1</v>
      </c>
      <c r="H22" s="24">
        <f>E22*12/12</f>
        <v/>
      </c>
      <c r="I22" s="24">
        <f>E22</f>
        <v/>
      </c>
      <c r="J22" s="24">
        <f>E22</f>
        <v/>
      </c>
    </row>
    <row r="23" ht="15" customHeight="1" s="19">
      <c r="A23" s="22" t="n">
        <v>19</v>
      </c>
      <c r="B23" s="22" t="inlineStr">
        <is>
          <t>Data Engineer</t>
        </is>
      </c>
      <c r="C23" s="23" t="n">
        <v>183000</v>
      </c>
      <c r="D23" s="24">
        <f>C23*0.25</f>
        <v/>
      </c>
      <c r="E23" s="24">
        <f>C23+D23</f>
        <v/>
      </c>
      <c r="F23" s="22" t="inlineStr">
        <is>
          <t>Yr 1</t>
        </is>
      </c>
      <c r="G23" s="25" t="n">
        <v>3</v>
      </c>
      <c r="H23" s="24">
        <f>E23*10/12</f>
        <v/>
      </c>
      <c r="I23" s="24">
        <f>E23</f>
        <v/>
      </c>
      <c r="J23" s="24">
        <f>E23</f>
        <v/>
      </c>
    </row>
    <row r="24" ht="15" customHeight="1" s="19">
      <c r="A24" s="22" t="n">
        <v>20</v>
      </c>
      <c r="B24" s="22" t="inlineStr">
        <is>
          <t>IT / Systems Admin (PT)</t>
        </is>
      </c>
      <c r="C24" s="23" t="n">
        <v>55000</v>
      </c>
      <c r="D24" s="24">
        <f>C24*0.25</f>
        <v/>
      </c>
      <c r="E24" s="24">
        <f>C24+D24</f>
        <v/>
      </c>
      <c r="F24" s="22" t="inlineStr">
        <is>
          <t>Yr 1</t>
        </is>
      </c>
      <c r="G24" s="25" t="n">
        <v>4</v>
      </c>
      <c r="H24" s="24">
        <f>E24*9/12</f>
        <v/>
      </c>
      <c r="I24" s="24">
        <f>E24</f>
        <v/>
      </c>
      <c r="J24" s="24">
        <f>E24</f>
        <v/>
      </c>
    </row>
    <row r="25" ht="15" customHeight="1" s="19">
      <c r="A25" s="22" t="n">
        <v>21</v>
      </c>
      <c r="B25" s="22" t="inlineStr">
        <is>
          <t>DevSecOps / Security Engineer</t>
        </is>
      </c>
      <c r="C25" s="23" t="n">
        <v>190000</v>
      </c>
      <c r="D25" s="24">
        <f>C25*0.25</f>
        <v/>
      </c>
      <c r="E25" s="24">
        <f>C25+D25</f>
        <v/>
      </c>
      <c r="F25" s="22" t="inlineStr">
        <is>
          <t>Yr 2</t>
        </is>
      </c>
      <c r="G25" s="25" t="n"/>
      <c r="H25" s="24" t="n">
        <v>0</v>
      </c>
      <c r="I25" s="24">
        <f>E25*6/12</f>
        <v/>
      </c>
      <c r="J25" s="24">
        <f>E25</f>
        <v/>
      </c>
    </row>
    <row r="26" ht="15" customHeight="1" s="19">
      <c r="A26" s="21" t="n"/>
      <c r="B26" s="21" t="inlineStr">
        <is>
          <t>PARTNERSHIPS AND SALES</t>
        </is>
      </c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" customHeight="1" s="19">
      <c r="A27" s="22" t="n">
        <v>22</v>
      </c>
      <c r="B27" s="22" t="inlineStr">
        <is>
          <t>Head of Strategic Partnerships</t>
        </is>
      </c>
      <c r="C27" s="23" t="n">
        <v>175000</v>
      </c>
      <c r="D27" s="24">
        <f>C27*0.25</f>
        <v/>
      </c>
      <c r="E27" s="24">
        <f>C27+D27</f>
        <v/>
      </c>
      <c r="F27" s="22" t="inlineStr">
        <is>
          <t>Yr 1</t>
        </is>
      </c>
      <c r="G27" s="25" t="n">
        <v>2</v>
      </c>
      <c r="H27" s="24">
        <f>E27*11/12</f>
        <v/>
      </c>
      <c r="I27" s="24">
        <f>E27</f>
        <v/>
      </c>
      <c r="J27" s="24">
        <f>E27</f>
        <v/>
      </c>
    </row>
    <row r="28" ht="15" customHeight="1" s="19">
      <c r="A28" s="22" t="n">
        <v>23</v>
      </c>
      <c r="B28" s="22" t="inlineStr">
        <is>
          <t>Corporate Partnerships Rep</t>
        </is>
      </c>
      <c r="C28" s="23" t="n">
        <v>120000</v>
      </c>
      <c r="D28" s="24">
        <f>C28*0.25</f>
        <v/>
      </c>
      <c r="E28" s="24">
        <f>C28+D28</f>
        <v/>
      </c>
      <c r="F28" s="22" t="inlineStr">
        <is>
          <t>Yr 1</t>
        </is>
      </c>
      <c r="G28" s="25" t="n">
        <v>3</v>
      </c>
      <c r="H28" s="24">
        <f>E28*10/12</f>
        <v/>
      </c>
      <c r="I28" s="24">
        <f>E28</f>
        <v/>
      </c>
      <c r="J28" s="24">
        <f>E28</f>
        <v/>
      </c>
    </row>
    <row r="29" ht="15" customHeight="1" s="19">
      <c r="A29" s="22" t="n">
        <v>24</v>
      </c>
      <c r="B29" s="22" t="inlineStr">
        <is>
          <t>Head of AI Policy / Gov Relations</t>
        </is>
      </c>
      <c r="C29" s="23" t="n">
        <v>175000</v>
      </c>
      <c r="D29" s="24">
        <f>C29*0.25</f>
        <v/>
      </c>
      <c r="E29" s="24">
        <f>C29+D29</f>
        <v/>
      </c>
      <c r="F29" s="22" t="inlineStr">
        <is>
          <t>Yr 2</t>
        </is>
      </c>
      <c r="G29" s="25" t="n"/>
      <c r="H29" s="24" t="n">
        <v>0</v>
      </c>
      <c r="I29" s="24">
        <f>E29*6/12</f>
        <v/>
      </c>
      <c r="J29" s="24">
        <f>E29</f>
        <v/>
      </c>
    </row>
    <row r="30" ht="15" customHeight="1" s="19">
      <c r="A30" s="22" t="n">
        <v>25</v>
      </c>
      <c r="B30" s="22" t="inlineStr">
        <is>
          <t>Head of Academic Relations</t>
        </is>
      </c>
      <c r="C30" s="23" t="n">
        <v>160000</v>
      </c>
      <c r="D30" s="24">
        <f>C30*0.25</f>
        <v/>
      </c>
      <c r="E30" s="24">
        <f>C30+D30</f>
        <v/>
      </c>
      <c r="F30" s="22" t="inlineStr">
        <is>
          <t>Yr 2</t>
        </is>
      </c>
      <c r="G30" s="25" t="n"/>
      <c r="H30" s="24" t="n">
        <v>0</v>
      </c>
      <c r="I30" s="24">
        <f>E30*6/12</f>
        <v/>
      </c>
      <c r="J30" s="24">
        <f>E30</f>
        <v/>
      </c>
    </row>
    <row r="31" ht="15" customHeight="1" s="19">
      <c r="A31" s="22" t="n">
        <v>25</v>
      </c>
      <c r="B31" s="22" t="inlineStr">
        <is>
          <t>Evaluations &amp; Assessments Sales Rep</t>
        </is>
      </c>
      <c r="C31" s="23" t="n">
        <v>85000</v>
      </c>
      <c r="D31" s="24">
        <f>C31*0.25</f>
        <v/>
      </c>
      <c r="E31" s="24">
        <f>C31+D31</f>
        <v/>
      </c>
      <c r="F31" s="22" t="inlineStr">
        <is>
          <t>Yr 1</t>
        </is>
      </c>
      <c r="G31" s="25" t="n">
        <v>3</v>
      </c>
      <c r="H31" s="24">
        <f>E31*10/12</f>
        <v/>
      </c>
      <c r="I31" s="24">
        <f>E31</f>
        <v/>
      </c>
      <c r="J31" s="24">
        <f>E31</f>
        <v/>
      </c>
    </row>
    <row r="32" ht="15" customHeight="1" s="19">
      <c r="A32" s="22" t="n">
        <v>26</v>
      </c>
      <c r="B32" s="22" t="inlineStr">
        <is>
          <t>Training &amp; Certification Sales Rep</t>
        </is>
      </c>
      <c r="C32" s="23" t="n">
        <v>85000</v>
      </c>
      <c r="D32" s="24">
        <f>C32*0.25</f>
        <v/>
      </c>
      <c r="E32" s="24">
        <f>C32+D32</f>
        <v/>
      </c>
      <c r="F32" s="22" t="inlineStr">
        <is>
          <t>Yr 1</t>
        </is>
      </c>
      <c r="G32" s="25" t="n">
        <v>4</v>
      </c>
      <c r="H32" s="24">
        <f>E32*9/12</f>
        <v/>
      </c>
      <c r="I32" s="24">
        <f>E32</f>
        <v/>
      </c>
      <c r="J32" s="24">
        <f>E32</f>
        <v/>
      </c>
    </row>
    <row r="33" ht="15" customHeight="1" s="19">
      <c r="A33" s="22" t="n">
        <v>27</v>
      </c>
      <c r="B33" s="22" t="inlineStr">
        <is>
          <t>Events &amp; Sponsorship Sales Rep</t>
        </is>
      </c>
      <c r="C33" s="23" t="n">
        <v>85000</v>
      </c>
      <c r="D33" s="24">
        <f>C33*0.25</f>
        <v/>
      </c>
      <c r="E33" s="24">
        <f>C33+D33</f>
        <v/>
      </c>
      <c r="F33" s="22" t="inlineStr">
        <is>
          <t>Yr 1</t>
        </is>
      </c>
      <c r="G33" s="25" t="n">
        <v>3</v>
      </c>
      <c r="H33" s="24">
        <f>E33*10/12</f>
        <v/>
      </c>
      <c r="I33" s="24">
        <f>E33</f>
        <v/>
      </c>
      <c r="J33" s="24">
        <f>E33</f>
        <v/>
      </c>
    </row>
    <row r="34" ht="15" customHeight="1" s="19">
      <c r="A34" s="21" t="n"/>
      <c r="B34" s="21" t="inlineStr">
        <is>
          <t>EVENTS</t>
        </is>
      </c>
      <c r="C34" s="21" t="n"/>
      <c r="D34" s="21" t="n"/>
      <c r="E34" s="21" t="n"/>
      <c r="F34" s="21" t="n"/>
      <c r="G34" s="21" t="n"/>
      <c r="H34" s="21" t="n"/>
      <c r="I34" s="21" t="n"/>
      <c r="J34" s="21" t="n"/>
    </row>
    <row r="35" ht="15" customHeight="1" s="19">
      <c r="A35" s="22" t="n">
        <v>26</v>
      </c>
      <c r="B35" s="22" t="inlineStr">
        <is>
          <t>Events Director</t>
        </is>
      </c>
      <c r="C35" s="23" t="n">
        <v>130000</v>
      </c>
      <c r="D35" s="24">
        <f>C32*0.25</f>
        <v/>
      </c>
      <c r="E35" s="24">
        <f>C32+D32</f>
        <v/>
      </c>
      <c r="F35" s="22" t="inlineStr">
        <is>
          <t>Yr 1</t>
        </is>
      </c>
      <c r="G35" s="25" t="n">
        <v>3</v>
      </c>
      <c r="H35" s="24">
        <f>E32*10/12</f>
        <v/>
      </c>
      <c r="I35" s="24">
        <f>E32</f>
        <v/>
      </c>
      <c r="J35" s="24">
        <f>E32</f>
        <v/>
      </c>
    </row>
    <row r="36" ht="15" customHeight="1" s="19">
      <c r="A36" s="22" t="n">
        <v>27</v>
      </c>
      <c r="B36" s="22" t="inlineStr">
        <is>
          <t>Events Coordinator</t>
        </is>
      </c>
      <c r="C36" s="23" t="n">
        <v>78000</v>
      </c>
      <c r="D36" s="24">
        <f>C33*0.25</f>
        <v/>
      </c>
      <c r="E36" s="24">
        <f>C33+D33</f>
        <v/>
      </c>
      <c r="F36" s="22" t="inlineStr">
        <is>
          <t>Yr 1</t>
        </is>
      </c>
      <c r="G36" s="25" t="n">
        <v>4</v>
      </c>
      <c r="H36" s="24">
        <f>E33*9/12</f>
        <v/>
      </c>
      <c r="I36" s="24">
        <f>E33</f>
        <v/>
      </c>
      <c r="J36" s="24">
        <f>E33</f>
        <v/>
      </c>
    </row>
    <row r="37" ht="15" customHeight="1" s="19">
      <c r="A37" s="21" t="n"/>
      <c r="B37" s="21" t="inlineStr">
        <is>
          <t>COMMUNITY AND CONTENT</t>
        </is>
      </c>
      <c r="C37" s="21" t="n"/>
      <c r="D37" s="21" t="n"/>
      <c r="E37" s="21" t="n"/>
      <c r="F37" s="21" t="n"/>
      <c r="G37" s="21" t="n"/>
      <c r="H37" s="21" t="n"/>
      <c r="I37" s="21" t="n"/>
      <c r="J37" s="21" t="n"/>
    </row>
    <row r="38" ht="15" customHeight="1" s="19">
      <c r="A38" s="22" t="n">
        <v>28</v>
      </c>
      <c r="B38" s="22" t="inlineStr">
        <is>
          <t>Community Director</t>
        </is>
      </c>
      <c r="C38" s="23" t="n">
        <v>153000</v>
      </c>
      <c r="D38" s="24">
        <f>C35*0.25</f>
        <v/>
      </c>
      <c r="E38" s="24">
        <f>C35+D35</f>
        <v/>
      </c>
      <c r="F38" s="22" t="inlineStr">
        <is>
          <t>Yr 1</t>
        </is>
      </c>
      <c r="G38" s="25" t="n">
        <v>3</v>
      </c>
      <c r="H38" s="24">
        <f>E35*10/12</f>
        <v/>
      </c>
      <c r="I38" s="24">
        <f>E35</f>
        <v/>
      </c>
      <c r="J38" s="24">
        <f>E35</f>
        <v/>
      </c>
    </row>
    <row r="39" ht="15" customHeight="1" s="19">
      <c r="A39" s="22" t="n">
        <v>29</v>
      </c>
      <c r="B39" s="22" t="inlineStr">
        <is>
          <t>Content and Communications Lead</t>
        </is>
      </c>
      <c r="C39" s="23" t="n">
        <v>130000</v>
      </c>
      <c r="D39" s="24">
        <f>C36*0.25</f>
        <v/>
      </c>
      <c r="E39" s="24">
        <f>C36+D36</f>
        <v/>
      </c>
      <c r="F39" s="22" t="inlineStr">
        <is>
          <t>Yr 1</t>
        </is>
      </c>
      <c r="G39" s="25" t="n">
        <v>2</v>
      </c>
      <c r="H39" s="24">
        <f>E36*11/12</f>
        <v/>
      </c>
      <c r="I39" s="24">
        <f>E36</f>
        <v/>
      </c>
      <c r="J39" s="24">
        <f>E36</f>
        <v/>
      </c>
    </row>
    <row r="40" ht="15" customHeight="1" s="19">
      <c r="A40" s="22" t="n">
        <v>30</v>
      </c>
      <c r="B40" s="22" t="inlineStr">
        <is>
          <t>Fellowship Growth Manager</t>
        </is>
      </c>
      <c r="C40" s="23" t="n">
        <v>115000</v>
      </c>
      <c r="D40" s="24">
        <f>C37*0.25</f>
        <v/>
      </c>
      <c r="E40" s="24">
        <f>C37+D37</f>
        <v/>
      </c>
      <c r="F40" s="22" t="inlineStr">
        <is>
          <t>Yr 1</t>
        </is>
      </c>
      <c r="G40" s="25" t="n">
        <v>4</v>
      </c>
      <c r="H40" s="24">
        <f>E37*9/12</f>
        <v/>
      </c>
      <c r="I40" s="24">
        <f>E37</f>
        <v/>
      </c>
      <c r="J40" s="24">
        <f>E37</f>
        <v/>
      </c>
    </row>
    <row r="41" ht="15" customHeight="1" s="19">
      <c r="A41" s="22" t="n">
        <v>31</v>
      </c>
      <c r="B41" s="22" t="inlineStr">
        <is>
          <t>PR and Media Relations Manager</t>
        </is>
      </c>
      <c r="C41" s="23" t="n">
        <v>135000</v>
      </c>
      <c r="D41" s="24">
        <f>C38*0.25</f>
        <v/>
      </c>
      <c r="E41" s="24">
        <f>C38+D38</f>
        <v/>
      </c>
      <c r="F41" s="22" t="inlineStr">
        <is>
          <t>Yr 1</t>
        </is>
      </c>
      <c r="G41" s="25" t="n">
        <v>3</v>
      </c>
      <c r="H41" s="24">
        <f>E38*10/12</f>
        <v/>
      </c>
      <c r="I41" s="24">
        <f>E38</f>
        <v/>
      </c>
      <c r="J41" s="24">
        <f>E38</f>
        <v/>
      </c>
    </row>
    <row r="42" ht="15" customHeight="1" s="19">
      <c r="A42" s="22" t="n">
        <v>32</v>
      </c>
      <c r="B42" s="22" t="inlineStr">
        <is>
          <t>Multimedia / Video Producer</t>
        </is>
      </c>
      <c r="C42" s="23" t="n">
        <v>110000</v>
      </c>
      <c r="D42" s="24">
        <f>C39*0.25</f>
        <v/>
      </c>
      <c r="E42" s="24">
        <f>C39+D39</f>
        <v/>
      </c>
      <c r="F42" s="22" t="inlineStr">
        <is>
          <t>Yr 2</t>
        </is>
      </c>
      <c r="G42" s="25" t="n"/>
      <c r="H42" s="24" t="n">
        <v>0</v>
      </c>
      <c r="I42" s="24">
        <f>E39*6/12</f>
        <v/>
      </c>
      <c r="J42" s="24">
        <f>E39</f>
        <v/>
      </c>
    </row>
    <row r="43" ht="15" customHeight="1" s="19">
      <c r="A43" s="21" t="n"/>
      <c r="B43" s="21" t="inlineStr">
        <is>
          <t>CREATIVE</t>
        </is>
      </c>
      <c r="C43" s="21" t="n"/>
      <c r="D43" s="21" t="n"/>
      <c r="E43" s="21" t="n"/>
      <c r="F43" s="21" t="n"/>
      <c r="G43" s="21" t="n"/>
      <c r="H43" s="21" t="n"/>
      <c r="I43" s="21" t="n"/>
      <c r="J43" s="21" t="n"/>
    </row>
    <row r="44" ht="15" customHeight="1" s="19">
      <c r="A44" s="22" t="n">
        <v>33</v>
      </c>
      <c r="B44" s="22" t="inlineStr">
        <is>
          <t>Creative Director</t>
        </is>
      </c>
      <c r="C44" s="23" t="n">
        <v>163000</v>
      </c>
      <c r="D44" s="24">
        <f>C41*0.25</f>
        <v/>
      </c>
      <c r="E44" s="24">
        <f>C41+D41</f>
        <v/>
      </c>
      <c r="F44" s="22" t="inlineStr">
        <is>
          <t>Yr 1</t>
        </is>
      </c>
      <c r="G44" s="25" t="n">
        <v>2</v>
      </c>
      <c r="H44" s="24">
        <f>E41*11/12</f>
        <v/>
      </c>
      <c r="I44" s="24">
        <f>E41</f>
        <v/>
      </c>
      <c r="J44" s="24">
        <f>E41</f>
        <v/>
      </c>
    </row>
    <row r="45" ht="15" customHeight="1" s="19">
      <c r="A45" s="22" t="n">
        <v>34</v>
      </c>
      <c r="B45" s="22" t="inlineStr">
        <is>
          <t>Graphic Designer</t>
        </is>
      </c>
      <c r="C45" s="23" t="n">
        <v>93000</v>
      </c>
      <c r="D45" s="24">
        <f>C42*0.25</f>
        <v/>
      </c>
      <c r="E45" s="24">
        <f>C42+D42</f>
        <v/>
      </c>
      <c r="F45" s="22" t="inlineStr">
        <is>
          <t>Yr 1</t>
        </is>
      </c>
      <c r="G45" s="25" t="n">
        <v>3</v>
      </c>
      <c r="H45" s="24">
        <f>E42*10/12</f>
        <v/>
      </c>
      <c r="I45" s="24">
        <f>E42</f>
        <v/>
      </c>
      <c r="J45" s="24">
        <f>E42</f>
        <v/>
      </c>
    </row>
    <row r="46" ht="15" customHeight="1" s="19">
      <c r="A46" s="21" t="n"/>
      <c r="B46" s="21" t="inlineStr">
        <is>
          <t>LEARNING AND TRAINING</t>
        </is>
      </c>
      <c r="C46" s="21" t="n"/>
      <c r="D46" s="21" t="n"/>
      <c r="E46" s="21" t="n"/>
      <c r="F46" s="21" t="n"/>
      <c r="G46" s="21" t="n"/>
      <c r="H46" s="21" t="n"/>
      <c r="I46" s="21" t="n"/>
      <c r="J46" s="21" t="n"/>
    </row>
    <row r="47" ht="15" customHeight="1" s="19">
      <c r="A47" s="22" t="n">
        <v>35</v>
      </c>
      <c r="B47" s="22" t="inlineStr">
        <is>
          <t>Trainer / Curriculum Director</t>
        </is>
      </c>
      <c r="C47" s="23" t="n">
        <v>130000</v>
      </c>
      <c r="D47" s="24">
        <f>C44*0.25</f>
        <v/>
      </c>
      <c r="E47" s="24">
        <f>C44+D44</f>
        <v/>
      </c>
      <c r="F47" s="22" t="inlineStr">
        <is>
          <t>Yr 1</t>
        </is>
      </c>
      <c r="G47" s="25" t="n">
        <v>4</v>
      </c>
      <c r="H47" s="24">
        <f>E44*9/12</f>
        <v/>
      </c>
      <c r="I47" s="24">
        <f>E44</f>
        <v/>
      </c>
      <c r="J47" s="24">
        <f>E44</f>
        <v/>
      </c>
    </row>
    <row r="48" ht="15" customHeight="1" s="19">
      <c r="A48" s="21" t="n"/>
      <c r="B48" s="21" t="inlineStr">
        <is>
          <t>OPERATIONS AND ADMINISTRATION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</row>
    <row r="49" ht="15" customHeight="1" s="19">
      <c r="A49" s="22" t="n">
        <v>36</v>
      </c>
      <c r="B49" s="22" t="inlineStr">
        <is>
          <t>Operations Manager</t>
        </is>
      </c>
      <c r="C49" s="23" t="n">
        <v>130000</v>
      </c>
      <c r="D49" s="24">
        <f>C46*0.25</f>
        <v/>
      </c>
      <c r="E49" s="24">
        <f>C46+D46</f>
        <v/>
      </c>
      <c r="F49" s="22" t="inlineStr">
        <is>
          <t>Yr 1</t>
        </is>
      </c>
      <c r="G49" s="25" t="n">
        <v>2</v>
      </c>
      <c r="H49" s="24">
        <f>E46*11/12</f>
        <v/>
      </c>
      <c r="I49" s="24">
        <f>E46</f>
        <v/>
      </c>
      <c r="J49" s="24">
        <f>E46</f>
        <v/>
      </c>
    </row>
    <row r="50" ht="15" customHeight="1" s="19">
      <c r="A50" s="22" t="n">
        <v>37</v>
      </c>
      <c r="B50" s="22" t="inlineStr">
        <is>
          <t>Finance Manager</t>
        </is>
      </c>
      <c r="C50" s="23" t="n">
        <v>148000</v>
      </c>
      <c r="D50" s="24">
        <f>C47*0.25</f>
        <v/>
      </c>
      <c r="E50" s="24">
        <f>C47+D47</f>
        <v/>
      </c>
      <c r="F50" s="22" t="inlineStr">
        <is>
          <t>Yr 1</t>
        </is>
      </c>
      <c r="G50" s="25" t="n">
        <v>2</v>
      </c>
      <c r="H50" s="24">
        <f>E47*11/12</f>
        <v/>
      </c>
      <c r="I50" s="24">
        <f>E47</f>
        <v/>
      </c>
      <c r="J50" s="24">
        <f>E47</f>
        <v/>
      </c>
    </row>
    <row r="51" ht="15" customHeight="1" s="19">
      <c r="A51" s="22" t="n">
        <v>38</v>
      </c>
      <c r="B51" s="22" t="inlineStr">
        <is>
          <t>Bookkeeper (PT)</t>
        </is>
      </c>
      <c r="C51" s="23" t="n">
        <v>32000</v>
      </c>
      <c r="D51" s="24">
        <f>C48*0.25</f>
        <v/>
      </c>
      <c r="E51" s="24">
        <f>C48+D48</f>
        <v/>
      </c>
      <c r="F51" s="22" t="inlineStr">
        <is>
          <t>Yr 1</t>
        </is>
      </c>
      <c r="G51" s="25" t="n">
        <v>3</v>
      </c>
      <c r="H51" s="24">
        <f>E48*10/12</f>
        <v/>
      </c>
      <c r="I51" s="24">
        <f>E48</f>
        <v/>
      </c>
      <c r="J51" s="24">
        <f>E48</f>
        <v/>
      </c>
    </row>
    <row r="52" ht="15" customHeight="1" s="19">
      <c r="A52" s="22" t="n">
        <v>39</v>
      </c>
      <c r="B52" s="22" t="inlineStr">
        <is>
          <t>Office Administrator</t>
        </is>
      </c>
      <c r="C52" s="23" t="n">
        <v>65000</v>
      </c>
      <c r="D52" s="24">
        <f>C49*0.25</f>
        <v/>
      </c>
      <c r="E52" s="24">
        <f>C49+D49</f>
        <v/>
      </c>
      <c r="F52" s="22" t="inlineStr">
        <is>
          <t>Yr 1</t>
        </is>
      </c>
      <c r="G52" s="25" t="n">
        <v>3</v>
      </c>
      <c r="H52" s="24">
        <f>E49*10/12</f>
        <v/>
      </c>
      <c r="I52" s="24">
        <f>E49</f>
        <v/>
      </c>
      <c r="J52" s="24">
        <f>E49</f>
        <v/>
      </c>
    </row>
    <row r="53" ht="15" customHeight="1" s="19">
      <c r="A53" s="22" t="n">
        <v>40</v>
      </c>
      <c r="B53" s="22" t="inlineStr">
        <is>
          <t>HR Manager</t>
        </is>
      </c>
      <c r="C53" s="23" t="n">
        <v>130000</v>
      </c>
      <c r="D53" s="24">
        <f>C50*0.25</f>
        <v/>
      </c>
      <c r="E53" s="24">
        <f>C50+D50</f>
        <v/>
      </c>
      <c r="F53" s="22" t="inlineStr">
        <is>
          <t>Yr 1</t>
        </is>
      </c>
      <c r="G53" s="25" t="n">
        <v>4</v>
      </c>
      <c r="H53" s="24">
        <f>E50*9/12</f>
        <v/>
      </c>
      <c r="I53" s="24">
        <f>E50</f>
        <v/>
      </c>
      <c r="J53" s="24">
        <f>E50</f>
        <v/>
      </c>
    </row>
    <row r="54" ht="15" customHeight="1" s="19">
      <c r="A54" s="22" t="n">
        <v>41</v>
      </c>
      <c r="B54" s="22" t="inlineStr">
        <is>
          <t>Internal Talent Recruiter</t>
        </is>
      </c>
      <c r="C54" s="23" t="n">
        <v>115000</v>
      </c>
      <c r="D54" s="24">
        <f>C51*0.25</f>
        <v/>
      </c>
      <c r="E54" s="24">
        <f>C51+D51</f>
        <v/>
      </c>
      <c r="F54" s="22" t="inlineStr">
        <is>
          <t>Yr 1</t>
        </is>
      </c>
      <c r="G54" s="25" t="n">
        <v>1</v>
      </c>
      <c r="H54" s="24">
        <f>E51*12/12</f>
        <v/>
      </c>
      <c r="I54" s="24">
        <f>E51</f>
        <v/>
      </c>
      <c r="J54" s="24">
        <f>E51</f>
        <v/>
      </c>
    </row>
    <row r="55" ht="15" customHeight="1" s="19">
      <c r="A55" s="22" t="n">
        <v>42</v>
      </c>
      <c r="B55" s="22" t="inlineStr">
        <is>
          <t>Executive Assistant to CEO</t>
        </is>
      </c>
      <c r="C55" s="23" t="n">
        <v>93000</v>
      </c>
      <c r="D55" s="24">
        <f>C52*0.25</f>
        <v/>
      </c>
      <c r="E55" s="24">
        <f>C52+D52</f>
        <v/>
      </c>
      <c r="F55" s="22" t="inlineStr">
        <is>
          <t>Yr 1</t>
        </is>
      </c>
      <c r="G55" s="25" t="n">
        <v>1</v>
      </c>
      <c r="H55" s="24">
        <f>E52*12/12</f>
        <v/>
      </c>
      <c r="I55" s="24">
        <f>E52</f>
        <v/>
      </c>
      <c r="J55" s="24">
        <f>E52</f>
        <v/>
      </c>
    </row>
    <row r="56" ht="15" customHeight="1" s="19">
      <c r="A56" s="22" t="n">
        <v>43</v>
      </c>
      <c r="B56" s="22" t="inlineStr">
        <is>
          <t>Fractional Legal Counsel</t>
        </is>
      </c>
      <c r="C56" s="23" t="n">
        <v>54000</v>
      </c>
      <c r="D56" s="24">
        <f>C53*0.25</f>
        <v/>
      </c>
      <c r="E56" s="24">
        <f>C53+D53</f>
        <v/>
      </c>
      <c r="F56" s="22" t="inlineStr">
        <is>
          <t>Yr 1</t>
        </is>
      </c>
      <c r="G56" s="25" t="n">
        <v>1</v>
      </c>
      <c r="H56" s="24">
        <f>E53*12/12</f>
        <v/>
      </c>
      <c r="I56" s="24">
        <f>E53</f>
        <v/>
      </c>
      <c r="J56" s="24">
        <f>E53</f>
        <v/>
      </c>
    </row>
    <row r="57" ht="15" customHeight="1" s="19">
      <c r="A57" s="21" t="n"/>
      <c r="B57" s="21" t="inlineStr">
        <is>
          <t>DEVELOPMENT AND FUNDRAISING</t>
        </is>
      </c>
      <c r="C57" s="21" t="n"/>
      <c r="D57" s="21" t="n"/>
      <c r="E57" s="21" t="n"/>
      <c r="F57" s="21" t="n"/>
      <c r="G57" s="21" t="n"/>
      <c r="H57" s="21" t="n"/>
      <c r="I57" s="21" t="n"/>
      <c r="J57" s="21" t="n"/>
    </row>
    <row r="58" ht="15" customHeight="1" s="19">
      <c r="A58" s="22" t="n">
        <v>44</v>
      </c>
      <c r="B58" s="22" t="inlineStr">
        <is>
          <t>Grant Writer / Development Officer</t>
        </is>
      </c>
      <c r="C58" s="23" t="n">
        <v>118000</v>
      </c>
      <c r="D58" s="24">
        <f>C55*0.25</f>
        <v/>
      </c>
      <c r="E58" s="24">
        <f>C55+D55</f>
        <v/>
      </c>
      <c r="F58" s="22" t="inlineStr">
        <is>
          <t>Yr 1</t>
        </is>
      </c>
      <c r="G58" s="25" t="n">
        <v>1</v>
      </c>
      <c r="H58" s="24">
        <f>E55*12/12</f>
        <v/>
      </c>
      <c r="I58" s="24">
        <f>E55</f>
        <v/>
      </c>
      <c r="J58" s="24">
        <f>E55</f>
        <v/>
      </c>
    </row>
    <row r="60" ht="15" customHeight="1" s="19">
      <c r="B60" s="26" t="inlineStr">
        <is>
          <t>TOTAL PBC PERSONNEL</t>
        </is>
      </c>
      <c r="E60" s="27">
        <f>SUM(E2:E58)</f>
        <v/>
      </c>
      <c r="H60" s="27">
        <f>SUM(H2:H58)</f>
        <v/>
      </c>
      <c r="I60" s="27">
        <f>SUM(I2:I58)</f>
        <v/>
      </c>
      <c r="J60" s="27">
        <f>SUM(J2:J58)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333333"/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8" min="1" max="1"/>
    <col width="16" customWidth="1" style="18" min="2" max="4"/>
    <col width="40" customWidth="1" style="18" min="5" max="5"/>
  </cols>
  <sheetData>
    <row r="1" ht="15" customHeight="1" s="19">
      <c r="A1" s="20" t="inlineStr">
        <is>
          <t>Category</t>
        </is>
      </c>
      <c r="B1" s="20" t="inlineStr">
        <is>
          <t>Year 1</t>
        </is>
      </c>
      <c r="C1" s="20" t="inlineStr">
        <is>
          <t>Year 2</t>
        </is>
      </c>
      <c r="D1" s="20" t="inlineStr">
        <is>
          <t>Year 3</t>
        </is>
      </c>
      <c r="E1" s="20" t="inlineStr">
        <is>
          <t>Notes</t>
        </is>
      </c>
    </row>
    <row r="2" ht="15" customHeight="1" s="19">
      <c r="A2" s="22" t="inlineStr">
        <is>
          <t>Office Space (Marina del Rey)</t>
        </is>
      </c>
      <c r="B2" s="23" t="n">
        <v>375000</v>
      </c>
      <c r="C2" s="23" t="n">
        <v>450000</v>
      </c>
      <c r="D2" s="23" t="n">
        <v>600000</v>
      </c>
      <c r="E2" s="22" t="inlineStr">
        <is>
          <t>5,000 sq ft, Marina del Rey. $375K/yr ($6.25/sq ft/mo). Fits ~30 in-office. Confirmed pricing.</t>
        </is>
      </c>
    </row>
    <row r="3" ht="15" customHeight="1" s="19">
      <c r="A3" s="22" t="inlineStr">
        <is>
          <t>Technology Infrastructure</t>
        </is>
      </c>
      <c r="B3" s="23" t="n">
        <v>200000</v>
      </c>
      <c r="C3" s="23" t="n">
        <v>300000</v>
      </c>
      <c r="D3" s="23" t="n">
        <v>400000</v>
      </c>
      <c r="E3" s="22" t="inlineStr">
        <is>
          <t>Hosting, cloud, platform, tools</t>
        </is>
      </c>
    </row>
    <row r="4" ht="15" customHeight="1" s="19">
      <c r="A4" s="22" t="inlineStr">
        <is>
          <t>Events Production (scaling with schedule)</t>
        </is>
      </c>
      <c r="B4" s="23" t="n">
        <v>400000</v>
      </c>
      <c r="C4" s="23" t="n">
        <v>800000</v>
      </c>
      <c r="D4" s="23" t="n">
        <v>1200000</v>
      </c>
      <c r="E4" s="22" t="inlineStr">
        <is>
          <t>Year 1: 15 events. Year 2: 25. Year 3: 30.</t>
        </is>
      </c>
    </row>
    <row r="5" ht="15" customHeight="1" s="19">
      <c r="A5" s="22" t="inlineStr">
        <is>
          <t>Legal and Insurance</t>
        </is>
      </c>
      <c r="B5" s="23" t="n">
        <v>200000</v>
      </c>
      <c r="C5" s="23" t="n">
        <v>300000</v>
      </c>
      <c r="D5" s="23" t="n">
        <v>400000</v>
      </c>
      <c r="E5" s="22" t="inlineStr">
        <is>
          <t>D&amp;O, E&amp;O, liability, IP counsel</t>
        </is>
      </c>
    </row>
    <row r="6" ht="15" customHeight="1" s="19">
      <c r="A6" s="22" t="inlineStr">
        <is>
          <t>Marketing and Advertising</t>
        </is>
      </c>
      <c r="B6" s="23" t="n">
        <v>200000</v>
      </c>
      <c r="C6" s="23" t="n">
        <v>300000</v>
      </c>
      <c r="D6" s="23" t="n">
        <v>400000</v>
      </c>
      <c r="E6" s="22" t="inlineStr">
        <is>
          <t>Digital, print, conference marketing</t>
        </is>
      </c>
    </row>
    <row r="7" ht="15" customHeight="1" s="19">
      <c r="A7" s="22" t="inlineStr">
        <is>
          <t>Travel</t>
        </is>
      </c>
      <c r="B7" s="23" t="n">
        <v>200000</v>
      </c>
      <c r="C7" s="23" t="n">
        <v>200000</v>
      </c>
      <c r="D7" s="23" t="n">
        <v>300000</v>
      </c>
      <c r="E7" s="22" t="inlineStr">
        <is>
          <t>Sales travel $40K, Policy/DC $50K, Academic $30K, External conferences/exhibitions $80K</t>
        </is>
      </c>
    </row>
    <row r="8" ht="15" customHeight="1" s="19">
      <c r="A8" s="22" t="inlineStr">
        <is>
          <t>Equipment and Supplies</t>
        </is>
      </c>
      <c r="B8" s="23" t="n">
        <v>150000</v>
      </c>
      <c r="C8" s="23" t="n">
        <v>100000</v>
      </c>
      <c r="D8" s="23" t="n">
        <v>100000</v>
      </c>
      <c r="E8" s="22" t="inlineStr">
        <is>
          <t>Heavy Year 1 for initial buildout</t>
        </is>
      </c>
    </row>
    <row r="9" ht="15" customHeight="1" s="19">
      <c r="A9" s="22" t="inlineStr">
        <is>
          <t>Software and Subscriptions</t>
        </is>
      </c>
      <c r="B9" s="23" t="n">
        <v>100000</v>
      </c>
      <c r="C9" s="23" t="n">
        <v>150000</v>
      </c>
      <c r="D9" s="23" t="n">
        <v>200000</v>
      </c>
      <c r="E9" s="22" t="inlineStr">
        <is>
          <t>SaaS, research tools, licenses</t>
        </is>
      </c>
    </row>
    <row r="10" ht="15" customHeight="1" s="19">
      <c r="A10" t="inlineStr">
        <is>
          <t>Recruitment and Staffing Agency Fees</t>
        </is>
      </c>
      <c r="B10" t="n">
        <v>500000</v>
      </c>
      <c r="C10" t="n">
        <v>300000</v>
      </c>
      <c r="D10" t="n">
        <v>200000</v>
      </c>
      <c r="E10" t="inlineStr">
        <is>
          <t>External staffing agencies for hard-to-fill roles. $500K Year 1 budget.</t>
        </is>
      </c>
    </row>
    <row r="11" ht="15" customHeight="1" s="19">
      <c r="A11" s="22" t="inlineStr">
        <is>
          <t>Contingency (10%)</t>
        </is>
      </c>
      <c r="B11" s="23">
        <f>SUM(B2:B10)*0.1</f>
        <v/>
      </c>
      <c r="C11" s="23">
        <f>SUM(C2:C10)*0.1</f>
        <v/>
      </c>
      <c r="D11" s="23">
        <f>SUM(D2:D10)*0.1</f>
        <v/>
      </c>
      <c r="E11" s="22" t="inlineStr">
        <is>
          <t>Buffer for unexpected costs</t>
        </is>
      </c>
    </row>
    <row r="12">
      <c r="A12" s="26" t="inlineStr">
        <is>
          <t>TOTAL OPERATIONS</t>
        </is>
      </c>
      <c r="B12" s="27">
        <f>SUM(B2:B11)</f>
        <v/>
      </c>
      <c r="C12" s="27">
        <f>SUM(C2:C11)</f>
        <v/>
      </c>
      <c r="D12" s="27">
        <f>SUM(D2:D11)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C9900"/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42" customWidth="1" style="18" min="2" max="2"/>
    <col width="10" customWidth="1" style="18" min="3" max="3"/>
    <col width="16" customWidth="1" style="18" min="4" max="6"/>
    <col width="60" customWidth="1" style="18" min="7" max="7"/>
  </cols>
  <sheetData>
    <row r="1" ht="15" customHeight="1" s="19">
      <c r="A1" s="20" t="inlineStr">
        <is>
          <t>#</t>
        </is>
      </c>
      <c r="B1" s="20" t="inlineStr">
        <is>
          <t>Revenue Stream</t>
        </is>
      </c>
      <c r="C1" s="20" t="inlineStr">
        <is>
          <t>Type</t>
        </is>
      </c>
      <c r="D1" s="20" t="inlineStr">
        <is>
          <t>Year 1</t>
        </is>
      </c>
      <c r="E1" s="20" t="inlineStr">
        <is>
          <t>Year 2</t>
        </is>
      </c>
      <c r="F1" s="20" t="inlineStr">
        <is>
          <t>Year 3</t>
        </is>
      </c>
      <c r="G1" s="20" t="inlineStr">
        <is>
          <t>Assumptions</t>
        </is>
      </c>
    </row>
    <row r="2" ht="15" customHeight="1" s="19">
      <c r="A2" s="21" t="n"/>
      <c r="B2" s="21" t="inlineStr">
        <is>
          <t>GRANTS (Direct to PBC)</t>
        </is>
      </c>
      <c r="C2" s="21" t="n"/>
      <c r="D2" s="21" t="n"/>
      <c r="E2" s="21" t="n"/>
      <c r="F2" s="21" t="n"/>
      <c r="G2" s="21" t="n"/>
    </row>
    <row r="3" ht="15" customHeight="1" s="19">
      <c r="A3" s="22" t="n">
        <v>1</v>
      </c>
      <c r="B3" s="22" t="inlineStr">
        <is>
          <t>SBIR/STTR Grants</t>
        </is>
      </c>
      <c r="C3" s="22" t="inlineStr">
        <is>
          <t>Grants</t>
        </is>
      </c>
      <c r="D3" s="23" t="n">
        <v>750000</v>
      </c>
      <c r="E3" s="23" t="n">
        <v>1500000</v>
      </c>
      <c r="F3" s="23" t="n">
        <v>2500000</v>
      </c>
      <c r="G3" s="22" t="inlineStr">
        <is>
          <t>Phase I $275K + Phase II $1M. 2 apps Year 1, scale Year 2+.</t>
        </is>
      </c>
    </row>
    <row r="4" ht="15" customHeight="1" s="19">
      <c r="A4" s="22" t="n">
        <v>2</v>
      </c>
      <c r="B4" s="22" t="inlineStr">
        <is>
          <t>State Innovation Grants</t>
        </is>
      </c>
      <c r="C4" s="22" t="inlineStr">
        <is>
          <t>Grants</t>
        </is>
      </c>
      <c r="D4" s="23" t="n">
        <v>100000</v>
      </c>
      <c r="E4" s="23" t="n">
        <v>200000</v>
      </c>
      <c r="F4" s="23" t="n">
        <v>400000</v>
      </c>
      <c r="G4" s="22" t="inlineStr">
        <is>
          <t>CalOSBA + other state programs.</t>
        </is>
      </c>
    </row>
    <row r="5" ht="15" customHeight="1" s="19">
      <c r="A5" s="22" t="n">
        <v>3</v>
      </c>
      <c r="B5" s="22" t="inlineStr">
        <is>
          <t>Corporate Sponsored Research</t>
        </is>
      </c>
      <c r="C5" s="22" t="inlineStr">
        <is>
          <t>Grants</t>
        </is>
      </c>
      <c r="D5" s="23" t="n">
        <v>400000</v>
      </c>
      <c r="E5" s="23" t="n">
        <v>600000</v>
      </c>
      <c r="F5" s="23" t="n">
        <v>1000000</v>
      </c>
      <c r="G5" s="22" t="inlineStr">
        <is>
          <t>3 to 5 sponsors funding pillar research. $75K to $150K each.</t>
        </is>
      </c>
    </row>
    <row r="6" ht="15" customHeight="1" s="19">
      <c r="A6" s="21" t="n"/>
      <c r="B6" s="21" t="inlineStr">
        <is>
          <t>EVALUATIONS AND ASSESSMENTS</t>
        </is>
      </c>
      <c r="C6" s="21" t="n"/>
      <c r="D6" s="21" t="n"/>
      <c r="E6" s="21" t="n"/>
      <c r="F6" s="21" t="n"/>
      <c r="G6" s="21" t="n"/>
    </row>
    <row r="7" ht="15" customHeight="1" s="19">
      <c r="A7" s="22" t="n">
        <v>4</v>
      </c>
      <c r="B7" s="22" t="inlineStr">
        <is>
          <t>Post-Deployment Safety Audits</t>
        </is>
      </c>
      <c r="C7" s="22" t="inlineStr">
        <is>
          <t>Earned</t>
        </is>
      </c>
      <c r="D7" s="23" t="n">
        <v>650000</v>
      </c>
      <c r="E7" s="23" t="n">
        <v>1200000</v>
      </c>
      <c r="F7" s="23" t="n">
        <v>2000000</v>
      </c>
      <c r="G7" s="22" t="inlineStr">
        <is>
          <t>10 audits Yr1 at $50K avg. Scale to 20+ Yr3. Two sales reps.</t>
        </is>
      </c>
    </row>
    <row r="8" ht="15" customHeight="1" s="19">
      <c r="A8" s="22" t="n">
        <v>5</v>
      </c>
      <c r="B8" s="22" t="inlineStr">
        <is>
          <t>Regulatory Readiness Assessments</t>
        </is>
      </c>
      <c r="C8" s="22" t="inlineStr">
        <is>
          <t>Earned</t>
        </is>
      </c>
      <c r="D8" s="23" t="n">
        <v>400000</v>
      </c>
      <c r="E8" s="23" t="n">
        <v>750000</v>
      </c>
      <c r="F8" s="23" t="n">
        <v>1200000</v>
      </c>
      <c r="G8" s="22" t="inlineStr">
        <is>
          <t>15 assessments Yr1. AI regulation accelerating demand.</t>
        </is>
      </c>
    </row>
    <row r="9" ht="15" customHeight="1" s="19">
      <c r="A9" s="21" t="n"/>
      <c r="B9" s="21" t="inlineStr">
        <is>
          <t>PARTNERSHIPS</t>
        </is>
      </c>
      <c r="C9" s="21" t="n"/>
      <c r="D9" s="21" t="n"/>
      <c r="E9" s="21" t="n"/>
      <c r="F9" s="21" t="n"/>
      <c r="G9" s="21" t="n"/>
    </row>
    <row r="10" ht="15" customHeight="1" s="19">
      <c r="A10" s="22" t="n">
        <v>6</v>
      </c>
      <c r="B10" s="22" t="inlineStr">
        <is>
          <t>Corporate Research Partnerships</t>
        </is>
      </c>
      <c r="C10" s="22" t="inlineStr">
        <is>
          <t>Earned</t>
        </is>
      </c>
      <c r="D10" s="23" t="n">
        <v>850000</v>
      </c>
      <c r="E10" s="23" t="n">
        <v>1750000</v>
      </c>
      <c r="F10" s="23" t="n">
        <v>3000000</v>
      </c>
      <c r="G10" s="22" t="inlineStr">
        <is>
          <t>$25K to $50K annual. 30 partners Yr1, 50 Yr2, 75 Yr3.</t>
        </is>
      </c>
    </row>
    <row r="11" ht="15" customHeight="1" s="19">
      <c r="A11" s="21" t="n"/>
      <c r="B11" s="21" t="inlineStr">
        <is>
          <t>CONFERENCES AND EVENTS</t>
        </is>
      </c>
      <c r="C11" s="21" t="n"/>
      <c r="D11" s="21" t="n"/>
      <c r="E11" s="21" t="n"/>
      <c r="F11" s="21" t="n"/>
      <c r="G11" s="21" t="n"/>
    </row>
    <row r="12" ht="15" customHeight="1" s="19">
      <c r="A12" s="22" t="n">
        <v>7</v>
      </c>
      <c r="B12" s="22" t="inlineStr">
        <is>
          <t>PRISM Summit (annual in-person)</t>
        </is>
      </c>
      <c r="C12" s="22" t="inlineStr">
        <is>
          <t>Earned</t>
        </is>
      </c>
      <c r="D12" s="23" t="n">
        <v>1200000</v>
      </c>
      <c r="E12" s="23" t="n">
        <v>1800000</v>
      </c>
      <c r="F12" s="23" t="n">
        <v>2500000</v>
      </c>
      <c r="G12" s="22" t="inlineStr">
        <is>
          <t>300 attendees. Tickets + 20 sponsors + merch + activations.</t>
        </is>
      </c>
    </row>
    <row r="13" ht="15" customHeight="1" s="19">
      <c r="A13" s="22" t="n">
        <v>8</v>
      </c>
      <c r="B13" s="22" t="inlineStr">
        <is>
          <t>Virtual Conferences (1 to 2/yr)</t>
        </is>
      </c>
      <c r="C13" s="22" t="inlineStr">
        <is>
          <t>Earned</t>
        </is>
      </c>
      <c r="D13" s="23" t="n">
        <v>400000</v>
      </c>
      <c r="E13" s="23" t="n">
        <v>600000</v>
      </c>
      <c r="F13" s="23" t="n">
        <v>1000000</v>
      </c>
      <c r="G13" s="22" t="inlineStr">
        <is>
          <t>Global reach. Lower overhead. Sponsors.</t>
        </is>
      </c>
    </row>
    <row r="14" ht="15" customHeight="1" s="19">
      <c r="A14" s="22" t="n">
        <v>9</v>
      </c>
      <c r="B14" s="22" t="inlineStr">
        <is>
          <t>Golf Tournaments (4/yr)</t>
        </is>
      </c>
      <c r="C14" s="22" t="inlineStr">
        <is>
          <t>Earned</t>
        </is>
      </c>
      <c r="D14" s="23" t="n">
        <v>600000</v>
      </c>
      <c r="E14" s="23" t="n">
        <v>900000</v>
      </c>
      <c r="F14" s="23" t="n">
        <v>1200000</v>
      </c>
      <c r="G14" s="22" t="inlineStr">
        <is>
          <t>$125K per tournament. Tickets, foursomes, sponsors, prizes.</t>
        </is>
      </c>
    </row>
    <row r="15" ht="15" customHeight="1" s="19">
      <c r="A15" s="22" t="n">
        <v>10</v>
      </c>
      <c r="B15" s="22" t="inlineStr">
        <is>
          <t>Round Tables (12/yr)</t>
        </is>
      </c>
      <c r="C15" s="22" t="inlineStr">
        <is>
          <t>Earned</t>
        </is>
      </c>
      <c r="D15" s="23" t="n">
        <v>600000</v>
      </c>
      <c r="E15" s="23" t="n">
        <v>960000</v>
      </c>
      <c r="F15" s="23" t="n">
        <v>1440000</v>
      </c>
      <c r="G15" s="22" t="inlineStr">
        <is>
          <t>$2.5K to $5K per seat. 15 seats avg. Monthly.</t>
        </is>
      </c>
    </row>
    <row r="16" ht="15" customHeight="1" s="19">
      <c r="A16" s="22" t="n">
        <v>11</v>
      </c>
      <c r="B16" s="22" t="inlineStr">
        <is>
          <t>Think Tanks (5/yr)</t>
        </is>
      </c>
      <c r="C16" s="22" t="inlineStr">
        <is>
          <t>Earned</t>
        </is>
      </c>
      <c r="D16" s="23" t="n">
        <v>450000</v>
      </c>
      <c r="E16" s="23" t="n">
        <v>600000</v>
      </c>
      <c r="F16" s="23" t="n">
        <v>900000</v>
      </c>
      <c r="G16" s="22" t="inlineStr">
        <is>
          <t>$5K to $10K per seat. 12 seats avg. Final at Summit.</t>
        </is>
      </c>
    </row>
    <row r="17" ht="15" customHeight="1" s="19">
      <c r="A17" s="22" t="n">
        <v>12</v>
      </c>
      <c r="B17" s="22" t="inlineStr">
        <is>
          <t>Hackathon / Challenge Event</t>
        </is>
      </c>
      <c r="C17" s="22" t="inlineStr">
        <is>
          <t>Earned</t>
        </is>
      </c>
      <c r="D17" s="23" t="n">
        <v>350000</v>
      </c>
      <c r="E17" s="23" t="n">
        <v>500000</v>
      </c>
      <c r="F17" s="23" t="n">
        <v>750000</v>
      </c>
      <c r="G17" s="22" t="inlineStr">
        <is>
          <t>Sponsors fund prizes. Entry fees. Media.</t>
        </is>
      </c>
    </row>
    <row r="18" ht="15" customHeight="1" s="19">
      <c r="A18" s="22" t="n">
        <v>13</v>
      </c>
      <c r="B18" s="22" t="inlineStr">
        <is>
          <t>Telethons / Webathons (1 to 2/yr)</t>
        </is>
      </c>
      <c r="C18" s="22" t="inlineStr">
        <is>
          <t>Earned</t>
        </is>
      </c>
      <c r="D18" s="23" t="n">
        <v>400000</v>
      </c>
      <c r="E18" s="23" t="n">
        <v>600000</v>
      </c>
      <c r="F18" s="23" t="n">
        <v>900000</v>
      </c>
      <c r="G18" s="22" t="inlineStr">
        <is>
          <t>Live fundraising. Community driven.</t>
        </is>
      </c>
    </row>
    <row r="19" ht="15" customHeight="1" s="19">
      <c r="A19" s="22" t="n">
        <v>14</v>
      </c>
      <c r="B19" s="22" t="inlineStr">
        <is>
          <t>Retreats (1 to 2/yr)</t>
        </is>
      </c>
      <c r="C19" s="22" t="inlineStr">
        <is>
          <t>Earned</t>
        </is>
      </c>
      <c r="D19" s="23" t="n">
        <v>350000</v>
      </c>
      <c r="E19" s="23" t="n">
        <v>500000</v>
      </c>
      <c r="F19" s="23" t="n">
        <v>750000</v>
      </c>
      <c r="G19" s="22" t="inlineStr">
        <is>
          <t>$5K to $10K per attendee. 25 to 50 people.</t>
        </is>
      </c>
    </row>
    <row r="20" ht="15" customHeight="1" s="19">
      <c r="A20" s="21" t="n"/>
      <c r="B20" s="21" t="inlineStr">
        <is>
          <t>CERTIFICATION AND TRAINING</t>
        </is>
      </c>
      <c r="C20" s="21" t="n"/>
      <c r="D20" s="21" t="n"/>
      <c r="E20" s="21" t="n"/>
      <c r="F20" s="21" t="n"/>
      <c r="G20" s="21" t="n"/>
    </row>
    <row r="21" ht="15" customHeight="1" s="19">
      <c r="A21" s="22" t="n">
        <v>15</v>
      </c>
      <c r="B21" s="22" t="inlineStr">
        <is>
          <t>Certification Program</t>
        </is>
      </c>
      <c r="C21" s="22" t="inlineStr">
        <is>
          <t>Earned</t>
        </is>
      </c>
      <c r="D21" s="23" t="n">
        <v>1000000</v>
      </c>
      <c r="E21" s="23" t="n">
        <v>1750000</v>
      </c>
      <c r="F21" s="23" t="n">
        <v>3000000</v>
      </c>
      <c r="G21" s="22" t="inlineStr">
        <is>
          <t>$3.5K avg. 200 certs Yr1. Enterprise cohorts. Scale to 500+.</t>
        </is>
      </c>
    </row>
    <row r="22" ht="15" customHeight="1" s="19">
      <c r="A22" s="22" t="n">
        <v>16</v>
      </c>
      <c r="B22" s="22" t="inlineStr">
        <is>
          <t>Learning Academy (paid advanced)</t>
        </is>
      </c>
      <c r="C22" s="22" t="inlineStr">
        <is>
          <t>Earned</t>
        </is>
      </c>
      <c r="D22" s="23" t="n">
        <v>500000</v>
      </c>
      <c r="E22" s="23" t="n">
        <v>800000</v>
      </c>
      <c r="F22" s="23" t="n">
        <v>1200000</v>
      </c>
      <c r="G22" s="22" t="inlineStr">
        <is>
          <t>Free portal + paid classes. University partnerships.</t>
        </is>
      </c>
    </row>
    <row r="23" ht="15" customHeight="1" s="19">
      <c r="A23" s="21" t="n"/>
      <c r="B23" s="21" t="inlineStr">
        <is>
          <t>PRODUCTS AND COMMUNITY</t>
        </is>
      </c>
      <c r="C23" s="21" t="n"/>
      <c r="D23" s="21" t="n"/>
      <c r="E23" s="21" t="n"/>
      <c r="F23" s="21" t="n"/>
      <c r="G23" s="21" t="n"/>
    </row>
    <row r="24" ht="15" customHeight="1" s="19">
      <c r="A24" s="22" t="n">
        <v>17</v>
      </c>
      <c r="B24" s="22" t="inlineStr">
        <is>
          <t>Annual Industry Report</t>
        </is>
      </c>
      <c r="C24" s="22" t="inlineStr">
        <is>
          <t>Earned</t>
        </is>
      </c>
      <c r="D24" s="23" t="n">
        <v>500000</v>
      </c>
      <c r="E24" s="23" t="n">
        <v>800000</v>
      </c>
      <c r="F24" s="23" t="n">
        <v>1200000</v>
      </c>
      <c r="G24" s="22" t="inlineStr">
        <is>
          <t>$10K avg per enterprise copy. 40 Yr1, 75 Yr2, 100 Yr3.</t>
        </is>
      </c>
    </row>
    <row r="25" ht="15" customHeight="1" s="19">
      <c r="A25" s="22" t="n">
        <v>18</v>
      </c>
      <c r="B25" s="22" t="inlineStr">
        <is>
          <t>Digital Products / Lead Magnets</t>
        </is>
      </c>
      <c r="C25" s="22" t="inlineStr">
        <is>
          <t>Earned</t>
        </is>
      </c>
      <c r="D25" s="23" t="n">
        <v>200000</v>
      </c>
      <c r="E25" s="23" t="n">
        <v>350000</v>
      </c>
      <c r="F25" s="23" t="n">
        <v>500000</v>
      </c>
      <c r="G25" s="22" t="inlineStr">
        <is>
          <t>Guides, frameworks, toolkits. Top of funnel.</t>
        </is>
      </c>
    </row>
    <row r="26" ht="15" customHeight="1" s="19">
      <c r="A26" s="22" t="n">
        <v>19</v>
      </c>
      <c r="B26" s="22" t="inlineStr">
        <is>
          <t>Online Community / Paid Membership</t>
        </is>
      </c>
      <c r="C26" s="22" t="inlineStr">
        <is>
          <t>Earned</t>
        </is>
      </c>
      <c r="D26" s="23" t="n">
        <v>250000</v>
      </c>
      <c r="E26" s="23" t="n">
        <v>450000</v>
      </c>
      <c r="F26" s="23" t="n">
        <v>750000</v>
      </c>
      <c r="G26" s="22" t="inlineStr">
        <is>
          <t>500 to 2000 members. $25 to $100/month.</t>
        </is>
      </c>
    </row>
    <row r="27" ht="15" customHeight="1" s="19">
      <c r="A27" s="22" t="n">
        <v>20</v>
      </c>
      <c r="B27" s="22" t="inlineStr">
        <is>
          <t>Merchandise</t>
        </is>
      </c>
      <c r="C27" s="22" t="inlineStr">
        <is>
          <t>Earned</t>
        </is>
      </c>
      <c r="D27" s="23" t="n">
        <v>300000</v>
      </c>
      <c r="E27" s="23" t="n">
        <v>500000</v>
      </c>
      <c r="F27" s="23" t="n">
        <v>800000</v>
      </c>
      <c r="G27" s="22" t="inlineStr">
        <is>
          <t>PRISM branded. Conference merch. Online store.</t>
        </is>
      </c>
    </row>
    <row r="29" ht="15" customHeight="1" s="19">
      <c r="B29" s="26" t="inlineStr">
        <is>
          <t>TOTAL PBC REVENUE</t>
        </is>
      </c>
      <c r="D29" s="27">
        <f>SUM(D2:D27)</f>
        <v/>
      </c>
      <c r="E29" s="27">
        <f>SUM(E2:E27)</f>
        <v/>
      </c>
      <c r="F29" s="27">
        <f>SUM(F2:F27)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A1A2E"/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8" min="1" max="1"/>
    <col width="18" customWidth="1" style="18" min="2" max="4"/>
  </cols>
  <sheetData>
    <row r="1" ht="17.25" customHeight="1" s="19">
      <c r="A1" s="28" t="inlineStr">
        <is>
          <t>AUDACION AI LABS PBC</t>
        </is>
      </c>
    </row>
    <row r="2" ht="15" customHeight="1" s="19">
      <c r="A2" s="29" t="inlineStr">
        <is>
          <t>Three-Year Financial Summary</t>
        </is>
      </c>
    </row>
    <row r="4" ht="15" customHeight="1" s="19">
      <c r="A4" s="20" t="n"/>
      <c r="B4" s="20" t="inlineStr">
        <is>
          <t>Year 1</t>
        </is>
      </c>
      <c r="C4" s="20" t="inlineStr">
        <is>
          <t>Year 2</t>
        </is>
      </c>
      <c r="D4" s="20" t="inlineStr">
        <is>
          <t>Year 3</t>
        </is>
      </c>
    </row>
    <row r="5" ht="15" customHeight="1" s="19">
      <c r="A5" s="21" t="inlineStr">
        <is>
          <t>EXPENSES</t>
        </is>
      </c>
      <c r="B5" s="21" t="n"/>
      <c r="C5" s="21" t="n"/>
      <c r="D5" s="21" t="n"/>
    </row>
    <row r="6" ht="15" customHeight="1" s="19">
      <c r="A6" s="22" t="inlineStr">
        <is>
          <t>Personnel (phased hiring)</t>
        </is>
      </c>
      <c r="B6" s="24">
        <f>'PBC Personnel'!H60</f>
        <v/>
      </c>
      <c r="C6" s="24">
        <f>'PBC Personnel'!I60</f>
        <v/>
      </c>
      <c r="D6" s="24">
        <f>'PBC Personnel'!J60</f>
        <v/>
      </c>
    </row>
    <row r="7" ht="15" customHeight="1" s="19">
      <c r="A7" s="22" t="inlineStr">
        <is>
          <t>Operations</t>
        </is>
      </c>
      <c r="B7" s="24">
        <f>'PBC Operations'!B12</f>
        <v/>
      </c>
      <c r="C7" s="24">
        <f>'PBC Operations'!C12</f>
        <v/>
      </c>
      <c r="D7" s="24">
        <f>'PBC Operations'!D12</f>
        <v/>
      </c>
    </row>
    <row r="8" ht="15" customHeight="1" s="19">
      <c r="A8" s="30" t="inlineStr">
        <is>
          <t>TOTAL EXPENSES</t>
        </is>
      </c>
      <c r="B8" s="27">
        <f>B6+B7</f>
        <v/>
      </c>
      <c r="C8" s="27">
        <f>C6+C7</f>
        <v/>
      </c>
      <c r="D8" s="27">
        <f>D6+D7</f>
        <v/>
      </c>
    </row>
    <row r="10" ht="15" customHeight="1" s="19">
      <c r="A10" s="21" t="inlineStr">
        <is>
          <t>REVENUE</t>
        </is>
      </c>
      <c r="B10" s="21" t="n"/>
      <c r="C10" s="21" t="n"/>
      <c r="D10" s="21" t="n"/>
    </row>
    <row r="11" ht="15" customHeight="1" s="19">
      <c r="A11" s="22" t="inlineStr">
        <is>
          <t>Total Revenue</t>
        </is>
      </c>
      <c r="B11" s="24">
        <f>'PBC Revenue'!D29</f>
        <v/>
      </c>
      <c r="C11" s="24">
        <f>'PBC Revenue'!E29</f>
        <v/>
      </c>
      <c r="D11" s="24">
        <f>'PBC Revenue'!F29</f>
        <v/>
      </c>
    </row>
    <row r="12" ht="15" customHeight="1" s="19">
      <c r="A12" s="22" t="inlineStr">
        <is>
          <t>Contract Revenue from Nonprofit</t>
        </is>
      </c>
      <c r="B12" s="23" t="n">
        <v>0</v>
      </c>
      <c r="C12" s="23" t="n">
        <v>0</v>
      </c>
      <c r="D12" s="23" t="n">
        <v>0</v>
      </c>
    </row>
    <row r="13" ht="15" customHeight="1" s="19">
      <c r="A13" s="30" t="inlineStr">
        <is>
          <t>TOTAL REVENUE</t>
        </is>
      </c>
      <c r="B13" s="27">
        <f>B11+B12</f>
        <v/>
      </c>
      <c r="C13" s="27">
        <f>C11+C12</f>
        <v/>
      </c>
      <c r="D13" s="27">
        <f>D11+D12</f>
        <v/>
      </c>
    </row>
    <row r="15" ht="15" customHeight="1" s="19">
      <c r="A15" s="30" t="inlineStr">
        <is>
          <t>NET (Revenue minus Expenses)</t>
        </is>
      </c>
      <c r="B15" s="27">
        <f>B13-B8</f>
        <v/>
      </c>
      <c r="C15" s="27">
        <f>C13-C8</f>
        <v/>
      </c>
      <c r="D15" s="27">
        <f>D13-D8</f>
        <v/>
      </c>
    </row>
    <row r="17" ht="15" customHeight="1" s="19">
      <c r="A17" s="30" t="inlineStr">
        <is>
          <t>Headcount</t>
        </is>
      </c>
      <c r="B17" s="25" t="n">
        <v>37</v>
      </c>
      <c r="C17" s="25" t="n">
        <v>44</v>
      </c>
      <c r="D17" s="25" t="n">
        <v>44</v>
      </c>
    </row>
    <row r="18" ht="15" customHeight="1" s="19">
      <c r="A18" s="30" t="inlineStr">
        <is>
          <t>Revenue Streams Active</t>
        </is>
      </c>
      <c r="B18" s="25" t="n">
        <v>20</v>
      </c>
      <c r="C18" s="25" t="n">
        <v>20</v>
      </c>
      <c r="D18" s="25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2026-05-19T02:17:17Z</dcterms:created>
  <dcterms:modified xmlns:dcterms="http://purl.org/dc/terms/" xmlns:xsi="http://www.w3.org/2001/XMLSchema-instance" xsi:type="dcterms:W3CDTF">2026-05-30T10:37:04Z</dcterms:modified>
  <cp:revision>0</cp:revision>
</cp:coreProperties>
</file>