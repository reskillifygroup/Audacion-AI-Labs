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BC Personnel" sheetId="1" state="visible" r:id="rId3"/>
    <sheet name="PBC Operations" sheetId="2" state="visible" r:id="rId4"/>
    <sheet name="PBC Revenue" sheetId="3" state="visible" r:id="rId5"/>
    <sheet name="PBC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<sst xmlns="http://schemas.openxmlformats.org/spreadsheetml/2006/main" count="294" uniqueCount="180">
  <si>
    <t xml:space="preserve">#</t>
  </si>
  <si>
    <t xml:space="preserve">Role</t>
  </si>
  <si>
    <t xml:space="preserve">Count</t>
  </si>
  <si>
    <t xml:space="preserve">Type</t>
  </si>
  <si>
    <t xml:space="preserve">Phase</t>
  </si>
  <si>
    <t xml:space="preserve">Salary Low</t>
  </si>
  <si>
    <t xml:space="preserve">Salary High</t>
  </si>
  <si>
    <t xml:space="preserve">Salary Mid</t>
  </si>
  <si>
    <t xml:space="preserve">Fringe Rate</t>
  </si>
  <si>
    <t xml:space="preserve">Fringe Cost</t>
  </si>
  <si>
    <t xml:space="preserve">Fully Loaded</t>
  </si>
  <si>
    <t xml:space="preserve">Total Low</t>
  </si>
  <si>
    <t xml:space="preserve">Total High</t>
  </si>
  <si>
    <t xml:space="preserve">Total Mid</t>
  </si>
  <si>
    <t xml:space="preserve">LEADERSHIP</t>
  </si>
  <si>
    <t xml:space="preserve">Founder and CEO (Dee Williams)</t>
  </si>
  <si>
    <t xml:space="preserve">Full-Time</t>
  </si>
  <si>
    <t xml:space="preserve">Now</t>
  </si>
  <si>
    <t xml:space="preserve">Chief Science Officer</t>
  </si>
  <si>
    <t xml:space="preserve">Yr 2</t>
  </si>
  <si>
    <t xml:space="preserve">Chief of Staff to CEO</t>
  </si>
  <si>
    <t xml:space="preserve">RESEARCH</t>
  </si>
  <si>
    <t xml:space="preserve">Director of Research</t>
  </si>
  <si>
    <t xml:space="preserve">Yr 1</t>
  </si>
  <si>
    <t xml:space="preserve">Pillar Lead: Post-Deployment Behavior</t>
  </si>
  <si>
    <t xml:space="preserve">Pillar Lead: Runtime Research</t>
  </si>
  <si>
    <t xml:space="preserve">Pillar Lead: Interaction Dynamics</t>
  </si>
  <si>
    <t xml:space="preserve">Pillar Lead: Substrate Governance</t>
  </si>
  <si>
    <t xml:space="preserve">Pillar Lead: Multi-Agent Safety</t>
  </si>
  <si>
    <t xml:space="preserve">Research Analyst 1</t>
  </si>
  <si>
    <t xml:space="preserve">Research Analyst 2</t>
  </si>
  <si>
    <t xml:space="preserve">Research Analyst 3</t>
  </si>
  <si>
    <t xml:space="preserve">Research Program Manager</t>
  </si>
  <si>
    <t xml:space="preserve">Research Editor</t>
  </si>
  <si>
    <t xml:space="preserve">Behavioral Health Adviser</t>
  </si>
  <si>
    <t xml:space="preserve">Part-Time</t>
  </si>
  <si>
    <t xml:space="preserve">Data Scientist / ML Engineer</t>
  </si>
  <si>
    <t xml:space="preserve">IRB / Research Ethics Officer</t>
  </si>
  <si>
    <t xml:space="preserve">Consultant</t>
  </si>
  <si>
    <t xml:space="preserve">TECHNOLOGY</t>
  </si>
  <si>
    <t xml:space="preserve">Lead Engineer</t>
  </si>
  <si>
    <t xml:space="preserve">Data Engineer</t>
  </si>
  <si>
    <t xml:space="preserve">IT / Systems Administrator</t>
  </si>
  <si>
    <t xml:space="preserve">DevSecOps / Security Engineer</t>
  </si>
  <si>
    <t xml:space="preserve">PARTNERSHIPS AND SALES</t>
  </si>
  <si>
    <t xml:space="preserve">Head of Strategic Partnerships</t>
  </si>
  <si>
    <t xml:space="preserve">Corporate Partnerships Rep</t>
  </si>
  <si>
    <t xml:space="preserve">Head of AI Policy / Gov Relations</t>
  </si>
  <si>
    <t xml:space="preserve">Head of Academic Relations</t>
  </si>
  <si>
    <t xml:space="preserve">EVENTS</t>
  </si>
  <si>
    <t xml:space="preserve">Events Director</t>
  </si>
  <si>
    <t xml:space="preserve">Events Coordinator</t>
  </si>
  <si>
    <t xml:space="preserve">COMMUNITY AND CONTENT</t>
  </si>
  <si>
    <t xml:space="preserve">Community Director</t>
  </si>
  <si>
    <t xml:space="preserve">Content and Communications Lead</t>
  </si>
  <si>
    <t xml:space="preserve">Fellowship Growth Manager</t>
  </si>
  <si>
    <t xml:space="preserve">PR and Media Relations Manager</t>
  </si>
  <si>
    <t xml:space="preserve">Multimedia / Video Producer</t>
  </si>
  <si>
    <t xml:space="preserve">CREATIVE</t>
  </si>
  <si>
    <t xml:space="preserve">Creative Director</t>
  </si>
  <si>
    <t xml:space="preserve">Graphic Designer</t>
  </si>
  <si>
    <t xml:space="preserve">LEARNING AND TRAINING</t>
  </si>
  <si>
    <t xml:space="preserve">Trainer / Curriculum Director</t>
  </si>
  <si>
    <t xml:space="preserve">OPERATIONS AND ADMINISTRATION</t>
  </si>
  <si>
    <t xml:space="preserve">Operations Manager</t>
  </si>
  <si>
    <t xml:space="preserve">Finance Manager</t>
  </si>
  <si>
    <t xml:space="preserve">Bookkeeper</t>
  </si>
  <si>
    <t xml:space="preserve">Office Administrator</t>
  </si>
  <si>
    <t xml:space="preserve">HR Manager</t>
  </si>
  <si>
    <t xml:space="preserve">Internal Talent Recruiter</t>
  </si>
  <si>
    <t xml:space="preserve">Executive Assistant to CEO</t>
  </si>
  <si>
    <t xml:space="preserve">Fractional Legal Counsel</t>
  </si>
  <si>
    <t xml:space="preserve">DEVELOPMENT AND FUNDRAISING</t>
  </si>
  <si>
    <t xml:space="preserve">Grant Writer / Development Officer</t>
  </si>
  <si>
    <t xml:space="preserve">TOTAL PBC PERSONNEL</t>
  </si>
  <si>
    <t xml:space="preserve">Category</t>
  </si>
  <si>
    <t xml:space="preserve">Annual Low</t>
  </si>
  <si>
    <t xml:space="preserve">Annual High</t>
  </si>
  <si>
    <t xml:space="preserve">Annual Mid</t>
  </si>
  <si>
    <t xml:space="preserve">Notes</t>
  </si>
  <si>
    <t xml:space="preserve">Office Space (Marina del Rey, 47 people)</t>
  </si>
  <si>
    <t xml:space="preserve">Lease, utilities, buildout</t>
  </si>
  <si>
    <t xml:space="preserve">Technology Infrastructure</t>
  </si>
  <si>
    <t xml:space="preserve">Hosting, cloud, platform dev tools</t>
  </si>
  <si>
    <t xml:space="preserve">Events Production (27-30 events/yr)</t>
  </si>
  <si>
    <t xml:space="preserve">Venues, catering, AV, logistics</t>
  </si>
  <si>
    <t xml:space="preserve">Legal and Insurance</t>
  </si>
  <si>
    <t xml:space="preserve">D&amp;O, E&amp;O, liability, IP counsel</t>
  </si>
  <si>
    <t xml:space="preserve">Marketing and Advertising</t>
  </si>
  <si>
    <t xml:space="preserve">Digital, print, conference marketing</t>
  </si>
  <si>
    <t xml:space="preserve">Travel</t>
  </si>
  <si>
    <t xml:space="preserve">Staff travel, conference attendance</t>
  </si>
  <si>
    <t xml:space="preserve">Equipment and Supplies</t>
  </si>
  <si>
    <t xml:space="preserve">Computers, office supplies, hardware</t>
  </si>
  <si>
    <t xml:space="preserve">Software and Subscriptions</t>
  </si>
  <si>
    <t xml:space="preserve">SaaS, research tools, licenses</t>
  </si>
  <si>
    <t xml:space="preserve">Miscellaneous / Contingency</t>
  </si>
  <si>
    <t xml:space="preserve">10% buffer</t>
  </si>
  <si>
    <t xml:space="preserve">TOTAL PBC OPERATIONS</t>
  </si>
  <si>
    <t xml:space="preserve">Revenue Stream</t>
  </si>
  <si>
    <t xml:space="preserve">Frequency</t>
  </si>
  <si>
    <t xml:space="preserve">Year 1 Low</t>
  </si>
  <si>
    <t xml:space="preserve">Year 1 High</t>
  </si>
  <si>
    <t xml:space="preserve">Year 1 Mid</t>
  </si>
  <si>
    <t xml:space="preserve">Year 3 Target</t>
  </si>
  <si>
    <t xml:space="preserve">Assumptions</t>
  </si>
  <si>
    <t xml:space="preserve">GRANTS (Direct to PBC)</t>
  </si>
  <si>
    <t xml:space="preserve">SBIR/STTR Grants (NSF, DOE, DARPA)</t>
  </si>
  <si>
    <t xml:space="preserve">Per cycle</t>
  </si>
  <si>
    <t xml:space="preserve">Grants</t>
  </si>
  <si>
    <t xml:space="preserve">Phase I $275K, Phase II $1M. Target 2 applications Year 1.</t>
  </si>
  <si>
    <t xml:space="preserve">State Innovation Grants (CalOSBA)</t>
  </si>
  <si>
    <t xml:space="preserve">Rolling</t>
  </si>
  <si>
    <t xml:space="preserve">Multiple state programs. $25K to $100K each.</t>
  </si>
  <si>
    <t xml:space="preserve">Corporate Sponsored Research</t>
  </si>
  <si>
    <t xml:space="preserve">Ongoing</t>
  </si>
  <si>
    <t xml:space="preserve">3 to 5 corporate sponsors funding specific pillar research. $75K to $150K per sponsorship.</t>
  </si>
  <si>
    <t xml:space="preserve">EVALUATIONS AND ASSESSMENTS</t>
  </si>
  <si>
    <t xml:space="preserve">Post-Deployment Safety Audits</t>
  </si>
  <si>
    <t xml:space="preserve">Earned</t>
  </si>
  <si>
    <t xml:space="preserve">$25K to $100K per audit. Two sales reps. 10 engagements at $50K avg = $500K low.</t>
  </si>
  <si>
    <t xml:space="preserve">Regulatory Readiness Assessments</t>
  </si>
  <si>
    <t xml:space="preserve">$10K to $50K per assessment. AI regulation driving urgent demand. 15 assessments at $23K avg.</t>
  </si>
  <si>
    <t xml:space="preserve">PARTNERSHIPS</t>
  </si>
  <si>
    <t xml:space="preserve">Corporate Research Partnerships</t>
  </si>
  <si>
    <t xml:space="preserve">Annual</t>
  </si>
  <si>
    <t xml:space="preserve">$25K to $50K annual membership. Two dedicated reps. 20 partners at $25K = $500K floor. 30 at $25K = $750K low.</t>
  </si>
  <si>
    <t xml:space="preserve">CONFERENCES AND EVENTS</t>
  </si>
  <si>
    <t xml:space="preserve">PRISM Summit (in-person annual)</t>
  </si>
  <si>
    <t xml:space="preserve">300 attendees at $500 to $1500. 15 to 25 sponsors at $10K to $100K. Merch. Activations. Dee: at least $1M.</t>
  </si>
  <si>
    <t xml:space="preserve">Virtual Conferences (1 to 2/yr)</t>
  </si>
  <si>
    <t xml:space="preserve">1 to 2/yr</t>
  </si>
  <si>
    <t xml:space="preserve">$100 to $500 tickets. Lower overhead. Sponsors. Global reach.</t>
  </si>
  <si>
    <t xml:space="preserve">Golf Tournaments (4/yr championship)</t>
  </si>
  <si>
    <t xml:space="preserve">4/yr</t>
  </si>
  <si>
    <t xml:space="preserve">$100K to $250K per tournament. Tickets, foursomes, sponsors, prizes.</t>
  </si>
  <si>
    <t xml:space="preserve">Round Tables (monthly)</t>
  </si>
  <si>
    <t xml:space="preserve">12/yr</t>
  </si>
  <si>
    <t xml:space="preserve">$2.5K to $5K per seat. 12 to 20 seats. 12 per year. High-value intimate format.</t>
  </si>
  <si>
    <t xml:space="preserve">Think Tanks (5/yr)</t>
  </si>
  <si>
    <t xml:space="preserve">5/yr</t>
  </si>
  <si>
    <t xml:space="preserve">$5K to $10K per seat. 10 to 15 seats. Exclusive. Final one at Summit.</t>
  </si>
  <si>
    <t xml:space="preserve">Hackathon / Challenge Event</t>
  </si>
  <si>
    <t xml:space="preserve">Sponsors fund prizes. Entry fees. Media coverage.</t>
  </si>
  <si>
    <t xml:space="preserve">Telethons / Webathons (1 to 2/yr)</t>
  </si>
  <si>
    <t xml:space="preserve">Live fundraising events. Community driven.</t>
  </si>
  <si>
    <t xml:space="preserve">Retreats (1 to 2/yr)</t>
  </si>
  <si>
    <t xml:space="preserve">$5K to $10K per attendee. 20 to 50 people. Training component.</t>
  </si>
  <si>
    <t xml:space="preserve">CERTIFICATION AND TRAINING</t>
  </si>
  <si>
    <t xml:space="preserve">Certification Program</t>
  </si>
  <si>
    <t xml:space="preserve">$2K to $5K per cert. Enterprise teams send cohorts of 10 to 20. 200 certs at $3.5K avg = $700K low.</t>
  </si>
  <si>
    <t xml:space="preserve">Learning Academy (paid advanced)</t>
  </si>
  <si>
    <t xml:space="preserve">Free portal drives leads. Paid advanced classes $200 to $2K. University partnerships.</t>
  </si>
  <si>
    <t xml:space="preserve">PRODUCTS AND COMMUNITY</t>
  </si>
  <si>
    <t xml:space="preserve">Annual Industry Report</t>
  </si>
  <si>
    <t xml:space="preserve">$5K to $25K per enterprise copy. First-of-its-kind AI safety report. 40 buyers at $10K avg = $400K low.</t>
  </si>
  <si>
    <t xml:space="preserve">Digital Products / Lead Magnets</t>
  </si>
  <si>
    <t xml:space="preserve">Guides, frameworks, templates, toolkits. Top of funnel.</t>
  </si>
  <si>
    <t xml:space="preserve">Online Community / Paid Membership</t>
  </si>
  <si>
    <t xml:space="preserve">Monthly</t>
  </si>
  <si>
    <t xml:space="preserve">Tiered membership. 500 to 2000 members at $25 to $100/month avg.</t>
  </si>
  <si>
    <t xml:space="preserve">Merchandise</t>
  </si>
  <si>
    <t xml:space="preserve">PRISM branded. Conference merch. Online store.</t>
  </si>
  <si>
    <t xml:space="preserve">TOTAL PBC REVENUE</t>
  </si>
  <si>
    <t xml:space="preserve">Grants Subtotal</t>
  </si>
  <si>
    <t xml:space="preserve">Earned Revenue Subtotal</t>
  </si>
  <si>
    <t xml:space="preserve">AUDACION AI LABS PBC</t>
  </si>
  <si>
    <t xml:space="preserve">Financial Summary</t>
  </si>
  <si>
    <t xml:space="preserve">Low</t>
  </si>
  <si>
    <t xml:space="preserve">High</t>
  </si>
  <si>
    <t xml:space="preserve">Mid</t>
  </si>
  <si>
    <t xml:space="preserve">EXPENSES</t>
  </si>
  <si>
    <t xml:space="preserve">Personnel (44 roles, fully loaded at 25%)</t>
  </si>
  <si>
    <t xml:space="preserve">Operations</t>
  </si>
  <si>
    <t xml:space="preserve">TOTAL PBC EXPENSES</t>
  </si>
  <si>
    <t xml:space="preserve">REVENUE</t>
  </si>
  <si>
    <t xml:space="preserve">Grants (SBIR, State, Corporate)</t>
  </si>
  <si>
    <t xml:space="preserve">Earned Revenue (17 streams)</t>
  </si>
  <si>
    <t xml:space="preserve">Contract Revenue from Nonprofit</t>
  </si>
  <si>
    <t xml:space="preserve">NET (Revenue minus Expenses)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</si>
</sst>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2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E8E8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7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4"/>
    <col collapsed="false" customWidth="true" hidden="false" outlineLevel="0" max="9" min="9" style="1" width="12"/>
    <col collapsed="false" customWidth="true" hidden="false" outlineLevel="0" max="10" min="10" style="1" width="14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/>
      <c r="B2" s="3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n">
        <v>1</v>
      </c>
      <c r="B3" s="4" t="s">
        <v>15</v>
      </c>
      <c r="C3" s="4" t="n">
        <v>1</v>
      </c>
      <c r="D3" s="4" t="s">
        <v>16</v>
      </c>
      <c r="E3" s="4" t="s">
        <v>17</v>
      </c>
      <c r="F3" s="5" t="n">
        <v>200000</v>
      </c>
      <c r="G3" s="5" t="n">
        <v>300000</v>
      </c>
      <c r="H3" s="6" t="n">
        <f aca="false">AVERAGE(F3,G3)</f>
        <v>250000</v>
      </c>
      <c r="I3" s="7" t="n">
        <v>0.25</v>
      </c>
      <c r="J3" s="6" t="n">
        <f aca="false">H3*I3</f>
        <v>62500</v>
      </c>
      <c r="K3" s="6" t="n">
        <f aca="false">H3+J3</f>
        <v>312500</v>
      </c>
      <c r="L3" s="6" t="n">
        <f aca="false">F3*C3</f>
        <v>200000</v>
      </c>
      <c r="M3" s="6" t="n">
        <f aca="false">G3*C3</f>
        <v>300000</v>
      </c>
      <c r="N3" s="6" t="n">
        <f aca="false">K3*C3</f>
        <v>312500</v>
      </c>
    </row>
    <row r="4" customFormat="false" ht="15" hidden="false" customHeight="true" outlineLevel="0" collapsed="false">
      <c r="A4" s="4" t="n">
        <v>2</v>
      </c>
      <c r="B4" s="4" t="s">
        <v>18</v>
      </c>
      <c r="C4" s="4" t="n">
        <v>1</v>
      </c>
      <c r="D4" s="4" t="s">
        <v>16</v>
      </c>
      <c r="E4" s="4" t="s">
        <v>19</v>
      </c>
      <c r="F4" s="5" t="n">
        <v>250000</v>
      </c>
      <c r="G4" s="5" t="n">
        <v>350000</v>
      </c>
      <c r="H4" s="6" t="n">
        <f aca="false">AVERAGE(F4,G4)</f>
        <v>300000</v>
      </c>
      <c r="I4" s="7" t="n">
        <v>0.25</v>
      </c>
      <c r="J4" s="6" t="n">
        <f aca="false">H4*I4</f>
        <v>75000</v>
      </c>
      <c r="K4" s="6" t="n">
        <f aca="false">H4+J4</f>
        <v>375000</v>
      </c>
      <c r="L4" s="6" t="n">
        <f aca="false">F4*C4</f>
        <v>250000</v>
      </c>
      <c r="M4" s="6" t="n">
        <f aca="false">G4*C4</f>
        <v>350000</v>
      </c>
      <c r="N4" s="6" t="n">
        <f aca="false">K4*C4</f>
        <v>375000</v>
      </c>
    </row>
    <row r="5" customFormat="false" ht="15" hidden="false" customHeight="true" outlineLevel="0" collapsed="false">
      <c r="A5" s="4" t="n">
        <v>3</v>
      </c>
      <c r="B5" s="4" t="s">
        <v>20</v>
      </c>
      <c r="C5" s="4" t="n">
        <v>1</v>
      </c>
      <c r="D5" s="4" t="s">
        <v>16</v>
      </c>
      <c r="E5" s="4" t="s">
        <v>19</v>
      </c>
      <c r="F5" s="5" t="n">
        <v>150000</v>
      </c>
      <c r="G5" s="5" t="n">
        <v>200000</v>
      </c>
      <c r="H5" s="6" t="n">
        <f aca="false">AVERAGE(F5,G5)</f>
        <v>175000</v>
      </c>
      <c r="I5" s="7" t="n">
        <v>0.25</v>
      </c>
      <c r="J5" s="6" t="n">
        <f aca="false">H5*I5</f>
        <v>43750</v>
      </c>
      <c r="K5" s="6" t="n">
        <f aca="false">H5+J5</f>
        <v>218750</v>
      </c>
      <c r="L5" s="6" t="n">
        <f aca="false">F5*C5</f>
        <v>150000</v>
      </c>
      <c r="M5" s="6" t="n">
        <f aca="false">G5*C5</f>
        <v>200000</v>
      </c>
      <c r="N5" s="6" t="n">
        <f aca="false">K5*C5</f>
        <v>218750</v>
      </c>
    </row>
    <row r="6" customFormat="false" ht="15" hidden="false" customHeight="true" outlineLevel="0" collapsed="false">
      <c r="A6" s="3"/>
      <c r="B6" s="3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true" outlineLevel="0" collapsed="false">
      <c r="A7" s="4" t="n">
        <v>4</v>
      </c>
      <c r="B7" s="4" t="s">
        <v>22</v>
      </c>
      <c r="C7" s="4" t="n">
        <v>1</v>
      </c>
      <c r="D7" s="4" t="s">
        <v>16</v>
      </c>
      <c r="E7" s="4" t="s">
        <v>23</v>
      </c>
      <c r="F7" s="5" t="n">
        <v>220000</v>
      </c>
      <c r="G7" s="5" t="n">
        <v>300000</v>
      </c>
      <c r="H7" s="6" t="n">
        <f aca="false">AVERAGE(F7,G7)</f>
        <v>260000</v>
      </c>
      <c r="I7" s="7" t="n">
        <v>0.25</v>
      </c>
      <c r="J7" s="6" t="n">
        <f aca="false">H7*I7</f>
        <v>65000</v>
      </c>
      <c r="K7" s="6" t="n">
        <f aca="false">H7+J7</f>
        <v>325000</v>
      </c>
      <c r="L7" s="6" t="n">
        <f aca="false">F7*C7</f>
        <v>220000</v>
      </c>
      <c r="M7" s="6" t="n">
        <f aca="false">G7*C7</f>
        <v>300000</v>
      </c>
      <c r="N7" s="6" t="n">
        <f aca="false">K7*C7</f>
        <v>325000</v>
      </c>
    </row>
    <row r="8" customFormat="false" ht="15" hidden="false" customHeight="true" outlineLevel="0" collapsed="false">
      <c r="A8" s="4" t="n">
        <v>5</v>
      </c>
      <c r="B8" s="4" t="s">
        <v>24</v>
      </c>
      <c r="C8" s="4" t="n">
        <v>1</v>
      </c>
      <c r="D8" s="4" t="s">
        <v>16</v>
      </c>
      <c r="E8" s="4" t="s">
        <v>23</v>
      </c>
      <c r="F8" s="5" t="n">
        <v>170000</v>
      </c>
      <c r="G8" s="5" t="n">
        <v>230000</v>
      </c>
      <c r="H8" s="6" t="n">
        <f aca="false">AVERAGE(F8,G8)</f>
        <v>200000</v>
      </c>
      <c r="I8" s="7" t="n">
        <v>0.25</v>
      </c>
      <c r="J8" s="6" t="n">
        <f aca="false">H8*I8</f>
        <v>50000</v>
      </c>
      <c r="K8" s="6" t="n">
        <f aca="false">H8+J8</f>
        <v>250000</v>
      </c>
      <c r="L8" s="6" t="n">
        <f aca="false">F8*C8</f>
        <v>170000</v>
      </c>
      <c r="M8" s="6" t="n">
        <f aca="false">G8*C8</f>
        <v>230000</v>
      </c>
      <c r="N8" s="6" t="n">
        <f aca="false">K8*C8</f>
        <v>250000</v>
      </c>
    </row>
    <row r="9" customFormat="false" ht="15" hidden="false" customHeight="true" outlineLevel="0" collapsed="false">
      <c r="A9" s="4" t="n">
        <v>6</v>
      </c>
      <c r="B9" s="4" t="s">
        <v>25</v>
      </c>
      <c r="C9" s="4" t="n">
        <v>1</v>
      </c>
      <c r="D9" s="4" t="s">
        <v>16</v>
      </c>
      <c r="E9" s="4" t="s">
        <v>23</v>
      </c>
      <c r="F9" s="5" t="n">
        <v>170000</v>
      </c>
      <c r="G9" s="5" t="n">
        <v>230000</v>
      </c>
      <c r="H9" s="6" t="n">
        <f aca="false">AVERAGE(F9,G9)</f>
        <v>200000</v>
      </c>
      <c r="I9" s="7" t="n">
        <v>0.25</v>
      </c>
      <c r="J9" s="6" t="n">
        <f aca="false">H9*I9</f>
        <v>50000</v>
      </c>
      <c r="K9" s="6" t="n">
        <f aca="false">H9+J9</f>
        <v>250000</v>
      </c>
      <c r="L9" s="6" t="n">
        <f aca="false">F9*C9</f>
        <v>170000</v>
      </c>
      <c r="M9" s="6" t="n">
        <f aca="false">G9*C9</f>
        <v>230000</v>
      </c>
      <c r="N9" s="6" t="n">
        <f aca="false">K9*C9</f>
        <v>250000</v>
      </c>
    </row>
    <row r="10" customFormat="false" ht="15" hidden="false" customHeight="true" outlineLevel="0" collapsed="false">
      <c r="A10" s="4" t="n">
        <v>7</v>
      </c>
      <c r="B10" s="4" t="s">
        <v>26</v>
      </c>
      <c r="C10" s="4" t="n">
        <v>1</v>
      </c>
      <c r="D10" s="4" t="s">
        <v>16</v>
      </c>
      <c r="E10" s="4" t="s">
        <v>23</v>
      </c>
      <c r="F10" s="5" t="n">
        <v>170000</v>
      </c>
      <c r="G10" s="5" t="n">
        <v>230000</v>
      </c>
      <c r="H10" s="6" t="n">
        <f aca="false">AVERAGE(F10,G10)</f>
        <v>200000</v>
      </c>
      <c r="I10" s="7" t="n">
        <v>0.25</v>
      </c>
      <c r="J10" s="6" t="n">
        <f aca="false">H10*I10</f>
        <v>50000</v>
      </c>
      <c r="K10" s="6" t="n">
        <f aca="false">H10+J10</f>
        <v>250000</v>
      </c>
      <c r="L10" s="6" t="n">
        <f aca="false">F10*C10</f>
        <v>170000</v>
      </c>
      <c r="M10" s="6" t="n">
        <f aca="false">G10*C10</f>
        <v>230000</v>
      </c>
      <c r="N10" s="6" t="n">
        <f aca="false">K10*C10</f>
        <v>250000</v>
      </c>
    </row>
    <row r="11" customFormat="false" ht="15" hidden="false" customHeight="true" outlineLevel="0" collapsed="false">
      <c r="A11" s="4" t="n">
        <v>8</v>
      </c>
      <c r="B11" s="4" t="s">
        <v>27</v>
      </c>
      <c r="C11" s="4" t="n">
        <v>1</v>
      </c>
      <c r="D11" s="4" t="s">
        <v>16</v>
      </c>
      <c r="E11" s="4" t="s">
        <v>23</v>
      </c>
      <c r="F11" s="5" t="n">
        <v>170000</v>
      </c>
      <c r="G11" s="5" t="n">
        <v>230000</v>
      </c>
      <c r="H11" s="6" t="n">
        <f aca="false">AVERAGE(F11,G11)</f>
        <v>200000</v>
      </c>
      <c r="I11" s="7" t="n">
        <v>0.25</v>
      </c>
      <c r="J11" s="6" t="n">
        <f aca="false">H11*I11</f>
        <v>50000</v>
      </c>
      <c r="K11" s="6" t="n">
        <f aca="false">H11+J11</f>
        <v>250000</v>
      </c>
      <c r="L11" s="6" t="n">
        <f aca="false">F11*C11</f>
        <v>170000</v>
      </c>
      <c r="M11" s="6" t="n">
        <f aca="false">G11*C11</f>
        <v>230000</v>
      </c>
      <c r="N11" s="6" t="n">
        <f aca="false">K11*C11</f>
        <v>250000</v>
      </c>
    </row>
    <row r="12" customFormat="false" ht="15" hidden="false" customHeight="true" outlineLevel="0" collapsed="false">
      <c r="A12" s="4" t="n">
        <v>9</v>
      </c>
      <c r="B12" s="4" t="s">
        <v>28</v>
      </c>
      <c r="C12" s="4" t="n">
        <v>1</v>
      </c>
      <c r="D12" s="4" t="s">
        <v>16</v>
      </c>
      <c r="E12" s="4" t="s">
        <v>23</v>
      </c>
      <c r="F12" s="5" t="n">
        <v>170000</v>
      </c>
      <c r="G12" s="5" t="n">
        <v>230000</v>
      </c>
      <c r="H12" s="6" t="n">
        <f aca="false">AVERAGE(F12,G12)</f>
        <v>200000</v>
      </c>
      <c r="I12" s="7" t="n">
        <v>0.25</v>
      </c>
      <c r="J12" s="6" t="n">
        <f aca="false">H12*I12</f>
        <v>50000</v>
      </c>
      <c r="K12" s="6" t="n">
        <f aca="false">H12+J12</f>
        <v>250000</v>
      </c>
      <c r="L12" s="6" t="n">
        <f aca="false">F12*C12</f>
        <v>170000</v>
      </c>
      <c r="M12" s="6" t="n">
        <f aca="false">G12*C12</f>
        <v>230000</v>
      </c>
      <c r="N12" s="6" t="n">
        <f aca="false">K12*C12</f>
        <v>250000</v>
      </c>
    </row>
    <row r="13" customFormat="false" ht="15" hidden="false" customHeight="true" outlineLevel="0" collapsed="false">
      <c r="A13" s="4" t="n">
        <v>10</v>
      </c>
      <c r="B13" s="4" t="s">
        <v>29</v>
      </c>
      <c r="C13" s="4" t="n">
        <v>1</v>
      </c>
      <c r="D13" s="4" t="s">
        <v>16</v>
      </c>
      <c r="E13" s="4" t="s">
        <v>23</v>
      </c>
      <c r="F13" s="5" t="n">
        <v>95000</v>
      </c>
      <c r="G13" s="5" t="n">
        <v>135000</v>
      </c>
      <c r="H13" s="6" t="n">
        <f aca="false">AVERAGE(F13,G13)</f>
        <v>115000</v>
      </c>
      <c r="I13" s="7" t="n">
        <v>0.25</v>
      </c>
      <c r="J13" s="6" t="n">
        <f aca="false">H13*I13</f>
        <v>28750</v>
      </c>
      <c r="K13" s="6" t="n">
        <f aca="false">H13+J13</f>
        <v>143750</v>
      </c>
      <c r="L13" s="6" t="n">
        <f aca="false">F13*C13</f>
        <v>95000</v>
      </c>
      <c r="M13" s="6" t="n">
        <f aca="false">G13*C13</f>
        <v>135000</v>
      </c>
      <c r="N13" s="6" t="n">
        <f aca="false">K13*C13</f>
        <v>143750</v>
      </c>
    </row>
    <row r="14" customFormat="false" ht="15" hidden="false" customHeight="true" outlineLevel="0" collapsed="false">
      <c r="A14" s="4" t="n">
        <v>11</v>
      </c>
      <c r="B14" s="4" t="s">
        <v>30</v>
      </c>
      <c r="C14" s="4" t="n">
        <v>1</v>
      </c>
      <c r="D14" s="4" t="s">
        <v>16</v>
      </c>
      <c r="E14" s="4" t="s">
        <v>23</v>
      </c>
      <c r="F14" s="5" t="n">
        <v>95000</v>
      </c>
      <c r="G14" s="5" t="n">
        <v>135000</v>
      </c>
      <c r="H14" s="6" t="n">
        <f aca="false">AVERAGE(F14,G14)</f>
        <v>115000</v>
      </c>
      <c r="I14" s="7" t="n">
        <v>0.25</v>
      </c>
      <c r="J14" s="6" t="n">
        <f aca="false">H14*I14</f>
        <v>28750</v>
      </c>
      <c r="K14" s="6" t="n">
        <f aca="false">H14+J14</f>
        <v>143750</v>
      </c>
      <c r="L14" s="6" t="n">
        <f aca="false">F14*C14</f>
        <v>95000</v>
      </c>
      <c r="M14" s="6" t="n">
        <f aca="false">G14*C14</f>
        <v>135000</v>
      </c>
      <c r="N14" s="6" t="n">
        <f aca="false">K14*C14</f>
        <v>143750</v>
      </c>
    </row>
    <row r="15" customFormat="false" ht="15" hidden="false" customHeight="true" outlineLevel="0" collapsed="false">
      <c r="A15" s="4" t="n">
        <v>12</v>
      </c>
      <c r="B15" s="4" t="s">
        <v>31</v>
      </c>
      <c r="C15" s="4" t="n">
        <v>1</v>
      </c>
      <c r="D15" s="4" t="s">
        <v>16</v>
      </c>
      <c r="E15" s="4" t="s">
        <v>23</v>
      </c>
      <c r="F15" s="5" t="n">
        <v>95000</v>
      </c>
      <c r="G15" s="5" t="n">
        <v>135000</v>
      </c>
      <c r="H15" s="6" t="n">
        <f aca="false">AVERAGE(F15,G15)</f>
        <v>115000</v>
      </c>
      <c r="I15" s="7" t="n">
        <v>0.25</v>
      </c>
      <c r="J15" s="6" t="n">
        <f aca="false">H15*I15</f>
        <v>28750</v>
      </c>
      <c r="K15" s="6" t="n">
        <f aca="false">H15+J15</f>
        <v>143750</v>
      </c>
      <c r="L15" s="6" t="n">
        <f aca="false">F15*C15</f>
        <v>95000</v>
      </c>
      <c r="M15" s="6" t="n">
        <f aca="false">G15*C15</f>
        <v>135000</v>
      </c>
      <c r="N15" s="6" t="n">
        <f aca="false">K15*C15</f>
        <v>143750</v>
      </c>
    </row>
    <row r="16" customFormat="false" ht="15" hidden="false" customHeight="true" outlineLevel="0" collapsed="false">
      <c r="A16" s="4" t="n">
        <v>13</v>
      </c>
      <c r="B16" s="4" t="s">
        <v>32</v>
      </c>
      <c r="C16" s="4" t="n">
        <v>1</v>
      </c>
      <c r="D16" s="4" t="s">
        <v>16</v>
      </c>
      <c r="E16" s="4" t="s">
        <v>23</v>
      </c>
      <c r="F16" s="5" t="n">
        <v>120000</v>
      </c>
      <c r="G16" s="5" t="n">
        <v>160000</v>
      </c>
      <c r="H16" s="6" t="n">
        <f aca="false">AVERAGE(F16,G16)</f>
        <v>140000</v>
      </c>
      <c r="I16" s="7" t="n">
        <v>0.25</v>
      </c>
      <c r="J16" s="6" t="n">
        <f aca="false">H16*I16</f>
        <v>35000</v>
      </c>
      <c r="K16" s="6" t="n">
        <f aca="false">H16+J16</f>
        <v>175000</v>
      </c>
      <c r="L16" s="6" t="n">
        <f aca="false">F16*C16</f>
        <v>120000</v>
      </c>
      <c r="M16" s="6" t="n">
        <f aca="false">G16*C16</f>
        <v>160000</v>
      </c>
      <c r="N16" s="6" t="n">
        <f aca="false">K16*C16</f>
        <v>175000</v>
      </c>
    </row>
    <row r="17" customFormat="false" ht="15" hidden="false" customHeight="true" outlineLevel="0" collapsed="false">
      <c r="A17" s="4" t="n">
        <v>14</v>
      </c>
      <c r="B17" s="4" t="s">
        <v>33</v>
      </c>
      <c r="C17" s="4" t="n">
        <v>1</v>
      </c>
      <c r="D17" s="4" t="s">
        <v>16</v>
      </c>
      <c r="E17" s="4" t="s">
        <v>23</v>
      </c>
      <c r="F17" s="5" t="n">
        <v>85000</v>
      </c>
      <c r="G17" s="5" t="n">
        <v>120000</v>
      </c>
      <c r="H17" s="6" t="n">
        <f aca="false">AVERAGE(F17,G17)</f>
        <v>102500</v>
      </c>
      <c r="I17" s="7" t="n">
        <v>0.25</v>
      </c>
      <c r="J17" s="6" t="n">
        <f aca="false">H17*I17</f>
        <v>25625</v>
      </c>
      <c r="K17" s="6" t="n">
        <f aca="false">H17+J17</f>
        <v>128125</v>
      </c>
      <c r="L17" s="6" t="n">
        <f aca="false">F17*C17</f>
        <v>85000</v>
      </c>
      <c r="M17" s="6" t="n">
        <f aca="false">G17*C17</f>
        <v>120000</v>
      </c>
      <c r="N17" s="6" t="n">
        <f aca="false">K17*C17</f>
        <v>128125</v>
      </c>
    </row>
    <row r="18" customFormat="false" ht="15" hidden="false" customHeight="true" outlineLevel="0" collapsed="false">
      <c r="A18" s="4" t="n">
        <v>15</v>
      </c>
      <c r="B18" s="4" t="s">
        <v>34</v>
      </c>
      <c r="C18" s="4" t="n">
        <v>1</v>
      </c>
      <c r="D18" s="4" t="s">
        <v>35</v>
      </c>
      <c r="E18" s="4" t="s">
        <v>23</v>
      </c>
      <c r="F18" s="5" t="n">
        <v>40000</v>
      </c>
      <c r="G18" s="5" t="n">
        <v>60000</v>
      </c>
      <c r="H18" s="6" t="n">
        <f aca="false">AVERAGE(F18,G18)</f>
        <v>50000</v>
      </c>
      <c r="I18" s="7" t="n">
        <v>0.25</v>
      </c>
      <c r="J18" s="6" t="n">
        <f aca="false">H18*I18</f>
        <v>12500</v>
      </c>
      <c r="K18" s="6" t="n">
        <f aca="false">H18+J18</f>
        <v>62500</v>
      </c>
      <c r="L18" s="6" t="n">
        <f aca="false">F18*C18</f>
        <v>40000</v>
      </c>
      <c r="M18" s="6" t="n">
        <f aca="false">G18*C18</f>
        <v>60000</v>
      </c>
      <c r="N18" s="6" t="n">
        <f aca="false">K18*C18</f>
        <v>62500</v>
      </c>
    </row>
    <row r="19" customFormat="false" ht="15" hidden="false" customHeight="true" outlineLevel="0" collapsed="false">
      <c r="A19" s="4" t="n">
        <v>16</v>
      </c>
      <c r="B19" s="4" t="s">
        <v>36</v>
      </c>
      <c r="C19" s="4" t="n">
        <v>1</v>
      </c>
      <c r="D19" s="4" t="s">
        <v>16</v>
      </c>
      <c r="E19" s="4" t="s">
        <v>19</v>
      </c>
      <c r="F19" s="5" t="n">
        <v>160000</v>
      </c>
      <c r="G19" s="5" t="n">
        <v>220000</v>
      </c>
      <c r="H19" s="6" t="n">
        <f aca="false">AVERAGE(F19,G19)</f>
        <v>190000</v>
      </c>
      <c r="I19" s="7" t="n">
        <v>0.25</v>
      </c>
      <c r="J19" s="6" t="n">
        <f aca="false">H19*I19</f>
        <v>47500</v>
      </c>
      <c r="K19" s="6" t="n">
        <f aca="false">H19+J19</f>
        <v>237500</v>
      </c>
      <c r="L19" s="6" t="n">
        <f aca="false">F19*C19</f>
        <v>160000</v>
      </c>
      <c r="M19" s="6" t="n">
        <f aca="false">G19*C19</f>
        <v>220000</v>
      </c>
      <c r="N19" s="6" t="n">
        <f aca="false">K19*C19</f>
        <v>237500</v>
      </c>
    </row>
    <row r="20" customFormat="false" ht="15" hidden="false" customHeight="true" outlineLevel="0" collapsed="false">
      <c r="A20" s="4" t="n">
        <v>17</v>
      </c>
      <c r="B20" s="4" t="s">
        <v>37</v>
      </c>
      <c r="C20" s="4" t="n">
        <v>1</v>
      </c>
      <c r="D20" s="4" t="s">
        <v>38</v>
      </c>
      <c r="E20" s="4" t="s">
        <v>23</v>
      </c>
      <c r="F20" s="5" t="n">
        <v>30000</v>
      </c>
      <c r="G20" s="5" t="n">
        <v>50000</v>
      </c>
      <c r="H20" s="6" t="n">
        <f aca="false">AVERAGE(F20,G20)</f>
        <v>40000</v>
      </c>
      <c r="I20" s="7" t="n">
        <v>0.25</v>
      </c>
      <c r="J20" s="6" t="n">
        <f aca="false">H20*I20</f>
        <v>10000</v>
      </c>
      <c r="K20" s="6" t="n">
        <f aca="false">H20+J20</f>
        <v>50000</v>
      </c>
      <c r="L20" s="6" t="n">
        <f aca="false">F20*C20</f>
        <v>30000</v>
      </c>
      <c r="M20" s="6" t="n">
        <f aca="false">G20*C20</f>
        <v>50000</v>
      </c>
      <c r="N20" s="6" t="n">
        <f aca="false">K20*C20</f>
        <v>50000</v>
      </c>
    </row>
    <row r="21" customFormat="false" ht="15" hidden="false" customHeight="true" outlineLevel="0" collapsed="false">
      <c r="A21" s="3"/>
      <c r="B21" s="3" t="s">
        <v>39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true" outlineLevel="0" collapsed="false">
      <c r="A22" s="4" t="n">
        <v>18</v>
      </c>
      <c r="B22" s="4" t="s">
        <v>40</v>
      </c>
      <c r="C22" s="4" t="n">
        <v>1</v>
      </c>
      <c r="D22" s="4" t="s">
        <v>16</v>
      </c>
      <c r="E22" s="4" t="s">
        <v>23</v>
      </c>
      <c r="F22" s="5" t="n">
        <v>200000</v>
      </c>
      <c r="G22" s="5" t="n">
        <v>275000</v>
      </c>
      <c r="H22" s="6" t="n">
        <f aca="false">AVERAGE(F22,G22)</f>
        <v>237500</v>
      </c>
      <c r="I22" s="7" t="n">
        <v>0.25</v>
      </c>
      <c r="J22" s="6" t="n">
        <f aca="false">H22*I22</f>
        <v>59375</v>
      </c>
      <c r="K22" s="6" t="n">
        <f aca="false">H22+J22</f>
        <v>296875</v>
      </c>
      <c r="L22" s="6" t="n">
        <f aca="false">F22*C22</f>
        <v>200000</v>
      </c>
      <c r="M22" s="6" t="n">
        <f aca="false">G22*C22</f>
        <v>275000</v>
      </c>
      <c r="N22" s="6" t="n">
        <f aca="false">K22*C22</f>
        <v>296875</v>
      </c>
    </row>
    <row r="23" customFormat="false" ht="15" hidden="false" customHeight="true" outlineLevel="0" collapsed="false">
      <c r="A23" s="4" t="n">
        <v>19</v>
      </c>
      <c r="B23" s="4" t="s">
        <v>41</v>
      </c>
      <c r="C23" s="4" t="n">
        <v>1</v>
      </c>
      <c r="D23" s="4" t="s">
        <v>16</v>
      </c>
      <c r="E23" s="4" t="s">
        <v>23</v>
      </c>
      <c r="F23" s="5" t="n">
        <v>155000</v>
      </c>
      <c r="G23" s="5" t="n">
        <v>210000</v>
      </c>
      <c r="H23" s="6" t="n">
        <f aca="false">AVERAGE(F23,G23)</f>
        <v>182500</v>
      </c>
      <c r="I23" s="7" t="n">
        <v>0.25</v>
      </c>
      <c r="J23" s="6" t="n">
        <f aca="false">H23*I23</f>
        <v>45625</v>
      </c>
      <c r="K23" s="6" t="n">
        <f aca="false">H23+J23</f>
        <v>228125</v>
      </c>
      <c r="L23" s="6" t="n">
        <f aca="false">F23*C23</f>
        <v>155000</v>
      </c>
      <c r="M23" s="6" t="n">
        <f aca="false">G23*C23</f>
        <v>210000</v>
      </c>
      <c r="N23" s="6" t="n">
        <f aca="false">K23*C23</f>
        <v>228125</v>
      </c>
    </row>
    <row r="24" customFormat="false" ht="15" hidden="false" customHeight="true" outlineLevel="0" collapsed="false">
      <c r="A24" s="4" t="n">
        <v>20</v>
      </c>
      <c r="B24" s="4" t="s">
        <v>42</v>
      </c>
      <c r="C24" s="4" t="n">
        <v>1</v>
      </c>
      <c r="D24" s="4" t="s">
        <v>35</v>
      </c>
      <c r="E24" s="4" t="s">
        <v>23</v>
      </c>
      <c r="F24" s="5" t="n">
        <v>45000</v>
      </c>
      <c r="G24" s="5" t="n">
        <v>65000</v>
      </c>
      <c r="H24" s="6" t="n">
        <f aca="false">AVERAGE(F24,G24)</f>
        <v>55000</v>
      </c>
      <c r="I24" s="7" t="n">
        <v>0.25</v>
      </c>
      <c r="J24" s="6" t="n">
        <f aca="false">H24*I24</f>
        <v>13750</v>
      </c>
      <c r="K24" s="6" t="n">
        <f aca="false">H24+J24</f>
        <v>68750</v>
      </c>
      <c r="L24" s="6" t="n">
        <f aca="false">F24*C24</f>
        <v>45000</v>
      </c>
      <c r="M24" s="6" t="n">
        <f aca="false">G24*C24</f>
        <v>65000</v>
      </c>
      <c r="N24" s="6" t="n">
        <f aca="false">K24*C24</f>
        <v>68750</v>
      </c>
    </row>
    <row r="25" customFormat="false" ht="15" hidden="false" customHeight="true" outlineLevel="0" collapsed="false">
      <c r="A25" s="4" t="n">
        <v>21</v>
      </c>
      <c r="B25" s="4" t="s">
        <v>43</v>
      </c>
      <c r="C25" s="4" t="n">
        <v>1</v>
      </c>
      <c r="D25" s="4" t="s">
        <v>16</v>
      </c>
      <c r="E25" s="4" t="s">
        <v>19</v>
      </c>
      <c r="F25" s="5" t="n">
        <v>160000</v>
      </c>
      <c r="G25" s="5" t="n">
        <v>220000</v>
      </c>
      <c r="H25" s="6" t="n">
        <f aca="false">AVERAGE(F25,G25)</f>
        <v>190000</v>
      </c>
      <c r="I25" s="7" t="n">
        <v>0.25</v>
      </c>
      <c r="J25" s="6" t="n">
        <f aca="false">H25*I25</f>
        <v>47500</v>
      </c>
      <c r="K25" s="6" t="n">
        <f aca="false">H25+J25</f>
        <v>237500</v>
      </c>
      <c r="L25" s="6" t="n">
        <f aca="false">F25*C25</f>
        <v>160000</v>
      </c>
      <c r="M25" s="6" t="n">
        <f aca="false">G25*C25</f>
        <v>220000</v>
      </c>
      <c r="N25" s="6" t="n">
        <f aca="false">K25*C25</f>
        <v>237500</v>
      </c>
    </row>
    <row r="26" customFormat="false" ht="15" hidden="false" customHeight="true" outlineLevel="0" collapsed="false">
      <c r="A26" s="3"/>
      <c r="B26" s="3" t="s">
        <v>44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true" outlineLevel="0" collapsed="false">
      <c r="A27" s="4" t="n">
        <v>22</v>
      </c>
      <c r="B27" s="4" t="s">
        <v>45</v>
      </c>
      <c r="C27" s="4" t="n">
        <v>1</v>
      </c>
      <c r="D27" s="4" t="s">
        <v>16</v>
      </c>
      <c r="E27" s="4" t="s">
        <v>23</v>
      </c>
      <c r="F27" s="5" t="n">
        <v>150000</v>
      </c>
      <c r="G27" s="5" t="n">
        <v>200000</v>
      </c>
      <c r="H27" s="6" t="n">
        <f aca="false">AVERAGE(F27,G27)</f>
        <v>175000</v>
      </c>
      <c r="I27" s="7" t="n">
        <v>0.25</v>
      </c>
      <c r="J27" s="6" t="n">
        <f aca="false">H27*I27</f>
        <v>43750</v>
      </c>
      <c r="K27" s="6" t="n">
        <f aca="false">H27+J27</f>
        <v>218750</v>
      </c>
      <c r="L27" s="6" t="n">
        <f aca="false">F27*C27</f>
        <v>150000</v>
      </c>
      <c r="M27" s="6" t="n">
        <f aca="false">G27*C27</f>
        <v>200000</v>
      </c>
      <c r="N27" s="6" t="n">
        <f aca="false">K27*C27</f>
        <v>218750</v>
      </c>
    </row>
    <row r="28" customFormat="false" ht="15" hidden="false" customHeight="true" outlineLevel="0" collapsed="false">
      <c r="A28" s="4" t="n">
        <v>23</v>
      </c>
      <c r="B28" s="4" t="s">
        <v>46</v>
      </c>
      <c r="C28" s="4" t="n">
        <v>1</v>
      </c>
      <c r="D28" s="4" t="s">
        <v>16</v>
      </c>
      <c r="E28" s="4" t="s">
        <v>23</v>
      </c>
      <c r="F28" s="5" t="n">
        <v>100000</v>
      </c>
      <c r="G28" s="5" t="n">
        <v>140000</v>
      </c>
      <c r="H28" s="6" t="n">
        <f aca="false">AVERAGE(F28,G28)</f>
        <v>120000</v>
      </c>
      <c r="I28" s="7" t="n">
        <v>0.25</v>
      </c>
      <c r="J28" s="6" t="n">
        <f aca="false">H28*I28</f>
        <v>30000</v>
      </c>
      <c r="K28" s="6" t="n">
        <f aca="false">H28+J28</f>
        <v>150000</v>
      </c>
      <c r="L28" s="6" t="n">
        <f aca="false">F28*C28</f>
        <v>100000</v>
      </c>
      <c r="M28" s="6" t="n">
        <f aca="false">G28*C28</f>
        <v>140000</v>
      </c>
      <c r="N28" s="6" t="n">
        <f aca="false">K28*C28</f>
        <v>150000</v>
      </c>
    </row>
    <row r="29" customFormat="false" ht="15" hidden="false" customHeight="true" outlineLevel="0" collapsed="false">
      <c r="A29" s="4" t="n">
        <v>24</v>
      </c>
      <c r="B29" s="4" t="s">
        <v>47</v>
      </c>
      <c r="C29" s="4" t="n">
        <v>1</v>
      </c>
      <c r="D29" s="4" t="s">
        <v>16</v>
      </c>
      <c r="E29" s="4" t="s">
        <v>19</v>
      </c>
      <c r="F29" s="5" t="n">
        <v>150000</v>
      </c>
      <c r="G29" s="5" t="n">
        <v>200000</v>
      </c>
      <c r="H29" s="6" t="n">
        <f aca="false">AVERAGE(F29,G29)</f>
        <v>175000</v>
      </c>
      <c r="I29" s="7" t="n">
        <v>0.25</v>
      </c>
      <c r="J29" s="6" t="n">
        <f aca="false">H29*I29</f>
        <v>43750</v>
      </c>
      <c r="K29" s="6" t="n">
        <f aca="false">H29+J29</f>
        <v>218750</v>
      </c>
      <c r="L29" s="6" t="n">
        <f aca="false">F29*C29</f>
        <v>150000</v>
      </c>
      <c r="M29" s="6" t="n">
        <f aca="false">G29*C29</f>
        <v>200000</v>
      </c>
      <c r="N29" s="6" t="n">
        <f aca="false">K29*C29</f>
        <v>218750</v>
      </c>
    </row>
    <row r="30" customFormat="false" ht="15" hidden="false" customHeight="true" outlineLevel="0" collapsed="false">
      <c r="A30" s="4" t="n">
        <v>25</v>
      </c>
      <c r="B30" s="4" t="s">
        <v>48</v>
      </c>
      <c r="C30" s="4" t="n">
        <v>1</v>
      </c>
      <c r="D30" s="4" t="s">
        <v>16</v>
      </c>
      <c r="E30" s="4" t="s">
        <v>19</v>
      </c>
      <c r="F30" s="5" t="n">
        <v>140000</v>
      </c>
      <c r="G30" s="5" t="n">
        <v>180000</v>
      </c>
      <c r="H30" s="6" t="n">
        <f aca="false">AVERAGE(F30,G30)</f>
        <v>160000</v>
      </c>
      <c r="I30" s="7" t="n">
        <v>0.25</v>
      </c>
      <c r="J30" s="6" t="n">
        <f aca="false">H30*I30</f>
        <v>40000</v>
      </c>
      <c r="K30" s="6" t="n">
        <f aca="false">H30+J30</f>
        <v>200000</v>
      </c>
      <c r="L30" s="6" t="n">
        <f aca="false">F30*C30</f>
        <v>140000</v>
      </c>
      <c r="M30" s="6" t="n">
        <f aca="false">G30*C30</f>
        <v>180000</v>
      </c>
      <c r="N30" s="6" t="n">
        <f aca="false">K30*C30</f>
        <v>200000</v>
      </c>
    </row>
    <row r="31" customFormat="false" ht="15" hidden="false" customHeight="true" outlineLevel="0" collapsed="false">
      <c r="A31" s="3"/>
      <c r="B31" s="3" t="s">
        <v>49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true" outlineLevel="0" collapsed="false">
      <c r="A32" s="4" t="n">
        <v>26</v>
      </c>
      <c r="B32" s="4" t="s">
        <v>50</v>
      </c>
      <c r="C32" s="4" t="n">
        <v>1</v>
      </c>
      <c r="D32" s="4" t="s">
        <v>16</v>
      </c>
      <c r="E32" s="4" t="s">
        <v>23</v>
      </c>
      <c r="F32" s="5" t="n">
        <v>110000</v>
      </c>
      <c r="G32" s="5" t="n">
        <v>150000</v>
      </c>
      <c r="H32" s="6" t="n">
        <f aca="false">AVERAGE(F32,G32)</f>
        <v>130000</v>
      </c>
      <c r="I32" s="7" t="n">
        <v>0.25</v>
      </c>
      <c r="J32" s="6" t="n">
        <f aca="false">H32*I32</f>
        <v>32500</v>
      </c>
      <c r="K32" s="6" t="n">
        <f aca="false">H32+J32</f>
        <v>162500</v>
      </c>
      <c r="L32" s="6" t="n">
        <f aca="false">F32*C32</f>
        <v>110000</v>
      </c>
      <c r="M32" s="6" t="n">
        <f aca="false">G32*C32</f>
        <v>150000</v>
      </c>
      <c r="N32" s="6" t="n">
        <f aca="false">K32*C32</f>
        <v>162500</v>
      </c>
    </row>
    <row r="33" customFormat="false" ht="15" hidden="false" customHeight="true" outlineLevel="0" collapsed="false">
      <c r="A33" s="4" t="n">
        <v>27</v>
      </c>
      <c r="B33" s="4" t="s">
        <v>51</v>
      </c>
      <c r="C33" s="4" t="n">
        <v>1</v>
      </c>
      <c r="D33" s="4" t="s">
        <v>16</v>
      </c>
      <c r="E33" s="4" t="s">
        <v>23</v>
      </c>
      <c r="F33" s="5" t="n">
        <v>65000</v>
      </c>
      <c r="G33" s="5" t="n">
        <v>90000</v>
      </c>
      <c r="H33" s="6" t="n">
        <f aca="false">AVERAGE(F33,G33)</f>
        <v>77500</v>
      </c>
      <c r="I33" s="7" t="n">
        <v>0.25</v>
      </c>
      <c r="J33" s="6" t="n">
        <f aca="false">H33*I33</f>
        <v>19375</v>
      </c>
      <c r="K33" s="6" t="n">
        <f aca="false">H33+J33</f>
        <v>96875</v>
      </c>
      <c r="L33" s="6" t="n">
        <f aca="false">F33*C33</f>
        <v>65000</v>
      </c>
      <c r="M33" s="6" t="n">
        <f aca="false">G33*C33</f>
        <v>90000</v>
      </c>
      <c r="N33" s="6" t="n">
        <f aca="false">K33*C33</f>
        <v>96875</v>
      </c>
    </row>
    <row r="34" customFormat="false" ht="15" hidden="false" customHeight="true" outlineLevel="0" collapsed="false">
      <c r="A34" s="3"/>
      <c r="B34" s="3" t="s">
        <v>52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Format="false" ht="15" hidden="false" customHeight="true" outlineLevel="0" collapsed="false">
      <c r="A35" s="4" t="n">
        <v>28</v>
      </c>
      <c r="B35" s="4" t="s">
        <v>53</v>
      </c>
      <c r="C35" s="4" t="n">
        <v>1</v>
      </c>
      <c r="D35" s="4" t="s">
        <v>16</v>
      </c>
      <c r="E35" s="4" t="s">
        <v>23</v>
      </c>
      <c r="F35" s="5" t="n">
        <v>130000</v>
      </c>
      <c r="G35" s="5" t="n">
        <v>175000</v>
      </c>
      <c r="H35" s="6" t="n">
        <f aca="false">AVERAGE(F35,G35)</f>
        <v>152500</v>
      </c>
      <c r="I35" s="7" t="n">
        <v>0.25</v>
      </c>
      <c r="J35" s="6" t="n">
        <f aca="false">H35*I35</f>
        <v>38125</v>
      </c>
      <c r="K35" s="6" t="n">
        <f aca="false">H35+J35</f>
        <v>190625</v>
      </c>
      <c r="L35" s="6" t="n">
        <f aca="false">F35*C35</f>
        <v>130000</v>
      </c>
      <c r="M35" s="6" t="n">
        <f aca="false">G35*C35</f>
        <v>175000</v>
      </c>
      <c r="N35" s="6" t="n">
        <f aca="false">K35*C35</f>
        <v>190625</v>
      </c>
    </row>
    <row r="36" customFormat="false" ht="15" hidden="false" customHeight="true" outlineLevel="0" collapsed="false">
      <c r="A36" s="4" t="n">
        <v>29</v>
      </c>
      <c r="B36" s="4" t="s">
        <v>54</v>
      </c>
      <c r="C36" s="4" t="n">
        <v>1</v>
      </c>
      <c r="D36" s="4" t="s">
        <v>16</v>
      </c>
      <c r="E36" s="4" t="s">
        <v>23</v>
      </c>
      <c r="F36" s="5" t="n">
        <v>110000</v>
      </c>
      <c r="G36" s="5" t="n">
        <v>150000</v>
      </c>
      <c r="H36" s="6" t="n">
        <f aca="false">AVERAGE(F36,G36)</f>
        <v>130000</v>
      </c>
      <c r="I36" s="7" t="n">
        <v>0.25</v>
      </c>
      <c r="J36" s="6" t="n">
        <f aca="false">H36*I36</f>
        <v>32500</v>
      </c>
      <c r="K36" s="6" t="n">
        <f aca="false">H36+J36</f>
        <v>162500</v>
      </c>
      <c r="L36" s="6" t="n">
        <f aca="false">F36*C36</f>
        <v>110000</v>
      </c>
      <c r="M36" s="6" t="n">
        <f aca="false">G36*C36</f>
        <v>150000</v>
      </c>
      <c r="N36" s="6" t="n">
        <f aca="false">K36*C36</f>
        <v>162500</v>
      </c>
    </row>
    <row r="37" customFormat="false" ht="15" hidden="false" customHeight="true" outlineLevel="0" collapsed="false">
      <c r="A37" s="4" t="n">
        <v>30</v>
      </c>
      <c r="B37" s="4" t="s">
        <v>55</v>
      </c>
      <c r="C37" s="4" t="n">
        <v>1</v>
      </c>
      <c r="D37" s="4" t="s">
        <v>16</v>
      </c>
      <c r="E37" s="4" t="s">
        <v>23</v>
      </c>
      <c r="F37" s="5" t="n">
        <v>95000</v>
      </c>
      <c r="G37" s="5" t="n">
        <v>135000</v>
      </c>
      <c r="H37" s="6" t="n">
        <f aca="false">AVERAGE(F37,G37)</f>
        <v>115000</v>
      </c>
      <c r="I37" s="7" t="n">
        <v>0.25</v>
      </c>
      <c r="J37" s="6" t="n">
        <f aca="false">H37*I37</f>
        <v>28750</v>
      </c>
      <c r="K37" s="6" t="n">
        <f aca="false">H37+J37</f>
        <v>143750</v>
      </c>
      <c r="L37" s="6" t="n">
        <f aca="false">F37*C37</f>
        <v>95000</v>
      </c>
      <c r="M37" s="6" t="n">
        <f aca="false">G37*C37</f>
        <v>135000</v>
      </c>
      <c r="N37" s="6" t="n">
        <f aca="false">K37*C37</f>
        <v>143750</v>
      </c>
    </row>
    <row r="38" customFormat="false" ht="15" hidden="false" customHeight="true" outlineLevel="0" collapsed="false">
      <c r="A38" s="4" t="n">
        <v>31</v>
      </c>
      <c r="B38" s="4" t="s">
        <v>56</v>
      </c>
      <c r="C38" s="4" t="n">
        <v>1</v>
      </c>
      <c r="D38" s="4" t="s">
        <v>16</v>
      </c>
      <c r="E38" s="4" t="s">
        <v>23</v>
      </c>
      <c r="F38" s="5" t="n">
        <v>115000</v>
      </c>
      <c r="G38" s="5" t="n">
        <v>155000</v>
      </c>
      <c r="H38" s="6" t="n">
        <f aca="false">AVERAGE(F38,G38)</f>
        <v>135000</v>
      </c>
      <c r="I38" s="7" t="n">
        <v>0.25</v>
      </c>
      <c r="J38" s="6" t="n">
        <f aca="false">H38*I38</f>
        <v>33750</v>
      </c>
      <c r="K38" s="6" t="n">
        <f aca="false">H38+J38</f>
        <v>168750</v>
      </c>
      <c r="L38" s="6" t="n">
        <f aca="false">F38*C38</f>
        <v>115000</v>
      </c>
      <c r="M38" s="6" t="n">
        <f aca="false">G38*C38</f>
        <v>155000</v>
      </c>
      <c r="N38" s="6" t="n">
        <f aca="false">K38*C38</f>
        <v>168750</v>
      </c>
    </row>
    <row r="39" customFormat="false" ht="15" hidden="false" customHeight="true" outlineLevel="0" collapsed="false">
      <c r="A39" s="4" t="n">
        <v>32</v>
      </c>
      <c r="B39" s="4" t="s">
        <v>57</v>
      </c>
      <c r="C39" s="4" t="n">
        <v>1</v>
      </c>
      <c r="D39" s="4" t="s">
        <v>16</v>
      </c>
      <c r="E39" s="4" t="s">
        <v>19</v>
      </c>
      <c r="F39" s="5" t="n">
        <v>90000</v>
      </c>
      <c r="G39" s="5" t="n">
        <v>130000</v>
      </c>
      <c r="H39" s="6" t="n">
        <f aca="false">AVERAGE(F39,G39)</f>
        <v>110000</v>
      </c>
      <c r="I39" s="7" t="n">
        <v>0.25</v>
      </c>
      <c r="J39" s="6" t="n">
        <f aca="false">H39*I39</f>
        <v>27500</v>
      </c>
      <c r="K39" s="6" t="n">
        <f aca="false">H39+J39</f>
        <v>137500</v>
      </c>
      <c r="L39" s="6" t="n">
        <f aca="false">F39*C39</f>
        <v>90000</v>
      </c>
      <c r="M39" s="6" t="n">
        <f aca="false">G39*C39</f>
        <v>130000</v>
      </c>
      <c r="N39" s="6" t="n">
        <f aca="false">K39*C39</f>
        <v>137500</v>
      </c>
    </row>
    <row r="40" customFormat="false" ht="15" hidden="false" customHeight="true" outlineLevel="0" collapsed="false">
      <c r="A40" s="3"/>
      <c r="B40" s="3" t="s">
        <v>58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customFormat="false" ht="15" hidden="false" customHeight="true" outlineLevel="0" collapsed="false">
      <c r="A41" s="4" t="n">
        <v>33</v>
      </c>
      <c r="B41" s="4" t="s">
        <v>59</v>
      </c>
      <c r="C41" s="4" t="n">
        <v>1</v>
      </c>
      <c r="D41" s="4" t="s">
        <v>16</v>
      </c>
      <c r="E41" s="4" t="s">
        <v>23</v>
      </c>
      <c r="F41" s="5" t="n">
        <v>140000</v>
      </c>
      <c r="G41" s="5" t="n">
        <v>185000</v>
      </c>
      <c r="H41" s="6" t="n">
        <f aca="false">AVERAGE(F41,G41)</f>
        <v>162500</v>
      </c>
      <c r="I41" s="7" t="n">
        <v>0.25</v>
      </c>
      <c r="J41" s="6" t="n">
        <f aca="false">H41*I41</f>
        <v>40625</v>
      </c>
      <c r="K41" s="6" t="n">
        <f aca="false">H41+J41</f>
        <v>203125</v>
      </c>
      <c r="L41" s="6" t="n">
        <f aca="false">F41*C41</f>
        <v>140000</v>
      </c>
      <c r="M41" s="6" t="n">
        <f aca="false">G41*C41</f>
        <v>185000</v>
      </c>
      <c r="N41" s="6" t="n">
        <f aca="false">K41*C41</f>
        <v>203125</v>
      </c>
    </row>
    <row r="42" customFormat="false" ht="15" hidden="false" customHeight="true" outlineLevel="0" collapsed="false">
      <c r="A42" s="4" t="n">
        <v>34</v>
      </c>
      <c r="B42" s="4" t="s">
        <v>60</v>
      </c>
      <c r="C42" s="4" t="n">
        <v>1</v>
      </c>
      <c r="D42" s="4" t="s">
        <v>16</v>
      </c>
      <c r="E42" s="4" t="s">
        <v>23</v>
      </c>
      <c r="F42" s="5" t="n">
        <v>75000</v>
      </c>
      <c r="G42" s="5" t="n">
        <v>110000</v>
      </c>
      <c r="H42" s="6" t="n">
        <f aca="false">AVERAGE(F42,G42)</f>
        <v>92500</v>
      </c>
      <c r="I42" s="7" t="n">
        <v>0.25</v>
      </c>
      <c r="J42" s="6" t="n">
        <f aca="false">H42*I42</f>
        <v>23125</v>
      </c>
      <c r="K42" s="6" t="n">
        <f aca="false">H42+J42</f>
        <v>115625</v>
      </c>
      <c r="L42" s="6" t="n">
        <f aca="false">F42*C42</f>
        <v>75000</v>
      </c>
      <c r="M42" s="6" t="n">
        <f aca="false">G42*C42</f>
        <v>110000</v>
      </c>
      <c r="N42" s="6" t="n">
        <f aca="false">K42*C42</f>
        <v>115625</v>
      </c>
    </row>
    <row r="43" customFormat="false" ht="15" hidden="false" customHeight="true" outlineLevel="0" collapsed="false">
      <c r="A43" s="3"/>
      <c r="B43" s="3" t="s">
        <v>61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Format="false" ht="15" hidden="false" customHeight="true" outlineLevel="0" collapsed="false">
      <c r="A44" s="4" t="n">
        <v>35</v>
      </c>
      <c r="B44" s="4" t="s">
        <v>62</v>
      </c>
      <c r="C44" s="4" t="n">
        <v>1</v>
      </c>
      <c r="D44" s="4" t="s">
        <v>16</v>
      </c>
      <c r="E44" s="4" t="s">
        <v>23</v>
      </c>
      <c r="F44" s="5" t="n">
        <v>110000</v>
      </c>
      <c r="G44" s="5" t="n">
        <v>150000</v>
      </c>
      <c r="H44" s="6" t="n">
        <f aca="false">AVERAGE(F44,G44)</f>
        <v>130000</v>
      </c>
      <c r="I44" s="7" t="n">
        <v>0.25</v>
      </c>
      <c r="J44" s="6" t="n">
        <f aca="false">H44*I44</f>
        <v>32500</v>
      </c>
      <c r="K44" s="6" t="n">
        <f aca="false">H44+J44</f>
        <v>162500</v>
      </c>
      <c r="L44" s="6" t="n">
        <f aca="false">F44*C44</f>
        <v>110000</v>
      </c>
      <c r="M44" s="6" t="n">
        <f aca="false">G44*C44</f>
        <v>150000</v>
      </c>
      <c r="N44" s="6" t="n">
        <f aca="false">K44*C44</f>
        <v>162500</v>
      </c>
    </row>
    <row r="45" customFormat="false" ht="15" hidden="false" customHeight="true" outlineLevel="0" collapsed="false">
      <c r="A45" s="3"/>
      <c r="B45" s="3" t="s">
        <v>63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Format="false" ht="15" hidden="false" customHeight="true" outlineLevel="0" collapsed="false">
      <c r="A46" s="4" t="n">
        <v>36</v>
      </c>
      <c r="B46" s="4" t="s">
        <v>64</v>
      </c>
      <c r="C46" s="4" t="n">
        <v>1</v>
      </c>
      <c r="D46" s="4" t="s">
        <v>16</v>
      </c>
      <c r="E46" s="4" t="s">
        <v>23</v>
      </c>
      <c r="F46" s="5" t="n">
        <v>110000</v>
      </c>
      <c r="G46" s="5" t="n">
        <v>150000</v>
      </c>
      <c r="H46" s="6" t="n">
        <f aca="false">AVERAGE(F46,G46)</f>
        <v>130000</v>
      </c>
      <c r="I46" s="7" t="n">
        <v>0.25</v>
      </c>
      <c r="J46" s="6" t="n">
        <f aca="false">H46*I46</f>
        <v>32500</v>
      </c>
      <c r="K46" s="6" t="n">
        <f aca="false">H46+J46</f>
        <v>162500</v>
      </c>
      <c r="L46" s="6" t="n">
        <f aca="false">F46*C46</f>
        <v>110000</v>
      </c>
      <c r="M46" s="6" t="n">
        <f aca="false">G46*C46</f>
        <v>150000</v>
      </c>
      <c r="N46" s="6" t="n">
        <f aca="false">K46*C46</f>
        <v>162500</v>
      </c>
    </row>
    <row r="47" customFormat="false" ht="15" hidden="false" customHeight="true" outlineLevel="0" collapsed="false">
      <c r="A47" s="4" t="n">
        <v>37</v>
      </c>
      <c r="B47" s="4" t="s">
        <v>65</v>
      </c>
      <c r="C47" s="4" t="n">
        <v>1</v>
      </c>
      <c r="D47" s="4" t="s">
        <v>16</v>
      </c>
      <c r="E47" s="4" t="s">
        <v>23</v>
      </c>
      <c r="F47" s="5" t="n">
        <v>125000</v>
      </c>
      <c r="G47" s="5" t="n">
        <v>170000</v>
      </c>
      <c r="H47" s="6" t="n">
        <f aca="false">AVERAGE(F47,G47)</f>
        <v>147500</v>
      </c>
      <c r="I47" s="7" t="n">
        <v>0.25</v>
      </c>
      <c r="J47" s="6" t="n">
        <f aca="false">H47*I47</f>
        <v>36875</v>
      </c>
      <c r="K47" s="6" t="n">
        <f aca="false">H47+J47</f>
        <v>184375</v>
      </c>
      <c r="L47" s="6" t="n">
        <f aca="false">F47*C47</f>
        <v>125000</v>
      </c>
      <c r="M47" s="6" t="n">
        <f aca="false">G47*C47</f>
        <v>170000</v>
      </c>
      <c r="N47" s="6" t="n">
        <f aca="false">K47*C47</f>
        <v>184375</v>
      </c>
    </row>
    <row r="48" customFormat="false" ht="15" hidden="false" customHeight="true" outlineLevel="0" collapsed="false">
      <c r="A48" s="4" t="n">
        <v>38</v>
      </c>
      <c r="B48" s="4" t="s">
        <v>66</v>
      </c>
      <c r="C48" s="4" t="n">
        <v>1</v>
      </c>
      <c r="D48" s="4" t="s">
        <v>35</v>
      </c>
      <c r="E48" s="4" t="s">
        <v>23</v>
      </c>
      <c r="F48" s="5" t="n">
        <v>26000</v>
      </c>
      <c r="G48" s="5" t="n">
        <v>36000</v>
      </c>
      <c r="H48" s="6" t="n">
        <f aca="false">AVERAGE(F48,G48)</f>
        <v>31000</v>
      </c>
      <c r="I48" s="7" t="n">
        <v>0.25</v>
      </c>
      <c r="J48" s="6" t="n">
        <f aca="false">H48*I48</f>
        <v>7750</v>
      </c>
      <c r="K48" s="6" t="n">
        <f aca="false">H48+J48</f>
        <v>38750</v>
      </c>
      <c r="L48" s="6" t="n">
        <f aca="false">F48*C48</f>
        <v>26000</v>
      </c>
      <c r="M48" s="6" t="n">
        <f aca="false">G48*C48</f>
        <v>36000</v>
      </c>
      <c r="N48" s="6" t="n">
        <f aca="false">K48*C48</f>
        <v>38750</v>
      </c>
    </row>
    <row r="49" customFormat="false" ht="15" hidden="false" customHeight="true" outlineLevel="0" collapsed="false">
      <c r="A49" s="4" t="n">
        <v>39</v>
      </c>
      <c r="B49" s="4" t="s">
        <v>67</v>
      </c>
      <c r="C49" s="4" t="n">
        <v>1</v>
      </c>
      <c r="D49" s="4" t="s">
        <v>16</v>
      </c>
      <c r="E49" s="4" t="s">
        <v>23</v>
      </c>
      <c r="F49" s="5" t="n">
        <v>55000</v>
      </c>
      <c r="G49" s="5" t="n">
        <v>75000</v>
      </c>
      <c r="H49" s="6" t="n">
        <f aca="false">AVERAGE(F49,G49)</f>
        <v>65000</v>
      </c>
      <c r="I49" s="7" t="n">
        <v>0.25</v>
      </c>
      <c r="J49" s="6" t="n">
        <f aca="false">H49*I49</f>
        <v>16250</v>
      </c>
      <c r="K49" s="6" t="n">
        <f aca="false">H49+J49</f>
        <v>81250</v>
      </c>
      <c r="L49" s="6" t="n">
        <f aca="false">F49*C49</f>
        <v>55000</v>
      </c>
      <c r="M49" s="6" t="n">
        <f aca="false">G49*C49</f>
        <v>75000</v>
      </c>
      <c r="N49" s="6" t="n">
        <f aca="false">K49*C49</f>
        <v>81250</v>
      </c>
    </row>
    <row r="50" customFormat="false" ht="15" hidden="false" customHeight="true" outlineLevel="0" collapsed="false">
      <c r="A50" s="4" t="n">
        <v>40</v>
      </c>
      <c r="B50" s="4" t="s">
        <v>68</v>
      </c>
      <c r="C50" s="4" t="n">
        <v>1</v>
      </c>
      <c r="D50" s="4" t="s">
        <v>16</v>
      </c>
      <c r="E50" s="4" t="s">
        <v>23</v>
      </c>
      <c r="F50" s="5" t="n">
        <v>110000</v>
      </c>
      <c r="G50" s="5" t="n">
        <v>150000</v>
      </c>
      <c r="H50" s="6" t="n">
        <f aca="false">AVERAGE(F50,G50)</f>
        <v>130000</v>
      </c>
      <c r="I50" s="7" t="n">
        <v>0.25</v>
      </c>
      <c r="J50" s="6" t="n">
        <f aca="false">H50*I50</f>
        <v>32500</v>
      </c>
      <c r="K50" s="6" t="n">
        <f aca="false">H50+J50</f>
        <v>162500</v>
      </c>
      <c r="L50" s="6" t="n">
        <f aca="false">F50*C50</f>
        <v>110000</v>
      </c>
      <c r="M50" s="6" t="n">
        <f aca="false">G50*C50</f>
        <v>150000</v>
      </c>
      <c r="N50" s="6" t="n">
        <f aca="false">K50*C50</f>
        <v>162500</v>
      </c>
    </row>
    <row r="51" customFormat="false" ht="15" hidden="false" customHeight="true" outlineLevel="0" collapsed="false">
      <c r="A51" s="4" t="n">
        <v>41</v>
      </c>
      <c r="B51" s="4" t="s">
        <v>69</v>
      </c>
      <c r="C51" s="4" t="n">
        <v>1</v>
      </c>
      <c r="D51" s="4" t="s">
        <v>16</v>
      </c>
      <c r="E51" s="4" t="s">
        <v>23</v>
      </c>
      <c r="F51" s="5" t="n">
        <v>95000</v>
      </c>
      <c r="G51" s="5" t="n">
        <v>135000</v>
      </c>
      <c r="H51" s="6" t="n">
        <f aca="false">AVERAGE(F51,G51)</f>
        <v>115000</v>
      </c>
      <c r="I51" s="7" t="n">
        <v>0.25</v>
      </c>
      <c r="J51" s="6" t="n">
        <f aca="false">H51*I51</f>
        <v>28750</v>
      </c>
      <c r="K51" s="6" t="n">
        <f aca="false">H51+J51</f>
        <v>143750</v>
      </c>
      <c r="L51" s="6" t="n">
        <f aca="false">F51*C51</f>
        <v>95000</v>
      </c>
      <c r="M51" s="6" t="n">
        <f aca="false">G51*C51</f>
        <v>135000</v>
      </c>
      <c r="N51" s="6" t="n">
        <f aca="false">K51*C51</f>
        <v>143750</v>
      </c>
    </row>
    <row r="52" customFormat="false" ht="15" hidden="false" customHeight="true" outlineLevel="0" collapsed="false">
      <c r="A52" s="4" t="n">
        <v>42</v>
      </c>
      <c r="B52" s="4" t="s">
        <v>70</v>
      </c>
      <c r="C52" s="4" t="n">
        <v>1</v>
      </c>
      <c r="D52" s="4" t="s">
        <v>16</v>
      </c>
      <c r="E52" s="4" t="s">
        <v>23</v>
      </c>
      <c r="F52" s="5" t="n">
        <v>75000</v>
      </c>
      <c r="G52" s="5" t="n">
        <v>110000</v>
      </c>
      <c r="H52" s="6" t="n">
        <f aca="false">AVERAGE(F52,G52)</f>
        <v>92500</v>
      </c>
      <c r="I52" s="7" t="n">
        <v>0.25</v>
      </c>
      <c r="J52" s="6" t="n">
        <f aca="false">H52*I52</f>
        <v>23125</v>
      </c>
      <c r="K52" s="6" t="n">
        <f aca="false">H52+J52</f>
        <v>115625</v>
      </c>
      <c r="L52" s="6" t="n">
        <f aca="false">F52*C52</f>
        <v>75000</v>
      </c>
      <c r="M52" s="6" t="n">
        <f aca="false">G52*C52</f>
        <v>110000</v>
      </c>
      <c r="N52" s="6" t="n">
        <f aca="false">K52*C52</f>
        <v>115625</v>
      </c>
    </row>
    <row r="53" customFormat="false" ht="15" hidden="false" customHeight="true" outlineLevel="0" collapsed="false">
      <c r="A53" s="4" t="n">
        <v>43</v>
      </c>
      <c r="B53" s="4" t="s">
        <v>71</v>
      </c>
      <c r="C53" s="4" t="n">
        <v>1</v>
      </c>
      <c r="D53" s="4" t="s">
        <v>38</v>
      </c>
      <c r="E53" s="4" t="s">
        <v>23</v>
      </c>
      <c r="F53" s="5" t="n">
        <v>36000</v>
      </c>
      <c r="G53" s="5" t="n">
        <v>72000</v>
      </c>
      <c r="H53" s="6" t="n">
        <f aca="false">AVERAGE(F53,G53)</f>
        <v>54000</v>
      </c>
      <c r="I53" s="7" t="n">
        <v>0.25</v>
      </c>
      <c r="J53" s="6" t="n">
        <f aca="false">H53*I53</f>
        <v>13500</v>
      </c>
      <c r="K53" s="6" t="n">
        <f aca="false">H53+J53</f>
        <v>67500</v>
      </c>
      <c r="L53" s="6" t="n">
        <f aca="false">F53*C53</f>
        <v>36000</v>
      </c>
      <c r="M53" s="6" t="n">
        <f aca="false">G53*C53</f>
        <v>72000</v>
      </c>
      <c r="N53" s="6" t="n">
        <f aca="false">K53*C53</f>
        <v>67500</v>
      </c>
    </row>
    <row r="54" customFormat="false" ht="15" hidden="false" customHeight="true" outlineLevel="0" collapsed="false">
      <c r="A54" s="3"/>
      <c r="B54" s="3" t="s">
        <v>72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customFormat="false" ht="15" hidden="false" customHeight="true" outlineLevel="0" collapsed="false">
      <c r="A55" s="4" t="n">
        <v>44</v>
      </c>
      <c r="B55" s="4" t="s">
        <v>73</v>
      </c>
      <c r="C55" s="4" t="n">
        <v>1</v>
      </c>
      <c r="D55" s="4" t="s">
        <v>16</v>
      </c>
      <c r="E55" s="4" t="s">
        <v>23</v>
      </c>
      <c r="F55" s="5" t="n">
        <v>95000</v>
      </c>
      <c r="G55" s="5" t="n">
        <v>140000</v>
      </c>
      <c r="H55" s="6" t="n">
        <f aca="false">AVERAGE(F55,G55)</f>
        <v>117500</v>
      </c>
      <c r="I55" s="7" t="n">
        <v>0.25</v>
      </c>
      <c r="J55" s="6" t="n">
        <f aca="false">H55*I55</f>
        <v>29375</v>
      </c>
      <c r="K55" s="6" t="n">
        <f aca="false">H55+J55</f>
        <v>146875</v>
      </c>
      <c r="L55" s="6" t="n">
        <f aca="false">F55*C55</f>
        <v>95000</v>
      </c>
      <c r="M55" s="6" t="n">
        <f aca="false">G55*C55</f>
        <v>140000</v>
      </c>
      <c r="N55" s="6" t="n">
        <f aca="false">K55*C55</f>
        <v>146875</v>
      </c>
    </row>
    <row r="57" customFormat="false" ht="15" hidden="false" customHeight="true" outlineLevel="0" collapsed="false">
      <c r="B57" s="8" t="s">
        <v>74</v>
      </c>
      <c r="L57" s="9" t="n">
        <f aca="false">SUM(L2:L55)</f>
        <v>5257000</v>
      </c>
      <c r="M57" s="9" t="n">
        <f aca="false">SUM(M2:M55)</f>
        <v>7273000</v>
      </c>
      <c r="N57" s="9" t="n">
        <f aca="false">SUM(N2:N55)</f>
        <v>7831250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5" min="5" style="1" width="40"/>
  </cols>
  <sheetData>
    <row r="1" customFormat="false" ht="26.25" hidden="false" customHeight="true" outlineLevel="0" collapsed="false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</row>
    <row r="2" customFormat="false" ht="15" hidden="false" customHeight="true" outlineLevel="0" collapsed="false">
      <c r="A2" s="4" t="s">
        <v>80</v>
      </c>
      <c r="B2" s="5" t="n">
        <v>300000</v>
      </c>
      <c r="C2" s="5" t="n">
        <v>600000</v>
      </c>
      <c r="D2" s="6" t="n">
        <f aca="false">AVERAGE(B2,C2)</f>
        <v>450000</v>
      </c>
      <c r="E2" s="4" t="s">
        <v>81</v>
      </c>
    </row>
    <row r="3" customFormat="false" ht="15" hidden="false" customHeight="true" outlineLevel="0" collapsed="false">
      <c r="A3" s="4" t="s">
        <v>82</v>
      </c>
      <c r="B3" s="5" t="n">
        <v>200000</v>
      </c>
      <c r="C3" s="5" t="n">
        <v>400000</v>
      </c>
      <c r="D3" s="6" t="n">
        <f aca="false">AVERAGE(B3,C3)</f>
        <v>300000</v>
      </c>
      <c r="E3" s="4" t="s">
        <v>83</v>
      </c>
    </row>
    <row r="4" customFormat="false" ht="15" hidden="false" customHeight="true" outlineLevel="0" collapsed="false">
      <c r="A4" s="4" t="s">
        <v>84</v>
      </c>
      <c r="B4" s="5" t="n">
        <v>500000</v>
      </c>
      <c r="C4" s="5" t="n">
        <v>1500000</v>
      </c>
      <c r="D4" s="6" t="n">
        <f aca="false">AVERAGE(B4,C4)</f>
        <v>1000000</v>
      </c>
      <c r="E4" s="4" t="s">
        <v>85</v>
      </c>
    </row>
    <row r="5" customFormat="false" ht="15" hidden="false" customHeight="true" outlineLevel="0" collapsed="false">
      <c r="A5" s="4" t="s">
        <v>86</v>
      </c>
      <c r="B5" s="5" t="n">
        <v>200000</v>
      </c>
      <c r="C5" s="5" t="n">
        <v>400000</v>
      </c>
      <c r="D5" s="6" t="n">
        <f aca="false">AVERAGE(B5,C5)</f>
        <v>300000</v>
      </c>
      <c r="E5" s="4" t="s">
        <v>87</v>
      </c>
    </row>
    <row r="6" customFormat="false" ht="15" hidden="false" customHeight="true" outlineLevel="0" collapsed="false">
      <c r="A6" s="4" t="s">
        <v>88</v>
      </c>
      <c r="B6" s="5" t="n">
        <v>200000</v>
      </c>
      <c r="C6" s="5" t="n">
        <v>400000</v>
      </c>
      <c r="D6" s="6" t="n">
        <f aca="false">AVERAGE(B6,C6)</f>
        <v>300000</v>
      </c>
      <c r="E6" s="4" t="s">
        <v>89</v>
      </c>
    </row>
    <row r="7" customFormat="false" ht="15" hidden="false" customHeight="true" outlineLevel="0" collapsed="false">
      <c r="A7" s="4" t="s">
        <v>90</v>
      </c>
      <c r="B7" s="5" t="n">
        <v>150000</v>
      </c>
      <c r="C7" s="5" t="n">
        <v>300000</v>
      </c>
      <c r="D7" s="6" t="n">
        <f aca="false">AVERAGE(B7,C7)</f>
        <v>225000</v>
      </c>
      <c r="E7" s="4" t="s">
        <v>91</v>
      </c>
    </row>
    <row r="8" customFormat="false" ht="15" hidden="false" customHeight="true" outlineLevel="0" collapsed="false">
      <c r="A8" s="4" t="s">
        <v>92</v>
      </c>
      <c r="B8" s="5" t="n">
        <v>100000</v>
      </c>
      <c r="C8" s="5" t="n">
        <v>200000</v>
      </c>
      <c r="D8" s="6" t="n">
        <f aca="false">AVERAGE(B8,C8)</f>
        <v>150000</v>
      </c>
      <c r="E8" s="4" t="s">
        <v>93</v>
      </c>
    </row>
    <row r="9" customFormat="false" ht="15" hidden="false" customHeight="true" outlineLevel="0" collapsed="false">
      <c r="A9" s="4" t="s">
        <v>94</v>
      </c>
      <c r="B9" s="5" t="n">
        <v>100000</v>
      </c>
      <c r="C9" s="5" t="n">
        <v>200000</v>
      </c>
      <c r="D9" s="6" t="n">
        <f aca="false">AVERAGE(B9,C9)</f>
        <v>150000</v>
      </c>
      <c r="E9" s="4" t="s">
        <v>95</v>
      </c>
    </row>
    <row r="10" customFormat="false" ht="15" hidden="false" customHeight="true" outlineLevel="0" collapsed="false">
      <c r="A10" s="4" t="s">
        <v>96</v>
      </c>
      <c r="B10" s="5" t="n">
        <v>150000</v>
      </c>
      <c r="C10" s="5" t="n">
        <v>300000</v>
      </c>
      <c r="D10" s="6" t="n">
        <f aca="false">AVERAGE(B10,C10)</f>
        <v>225000</v>
      </c>
      <c r="E10" s="4" t="s">
        <v>97</v>
      </c>
    </row>
    <row r="11" customFormat="false" ht="15" hidden="false" customHeight="true" outlineLevel="0" collapsed="false">
      <c r="A11" s="8" t="s">
        <v>98</v>
      </c>
      <c r="B11" s="9" t="n">
        <f aca="false">SUM(B2:B10)</f>
        <v>1900000</v>
      </c>
      <c r="C11" s="9" t="n">
        <f aca="false">SUM(C2:C10)</f>
        <v>4300000</v>
      </c>
      <c r="D11" s="9" t="n">
        <f aca="false">SUM(D2:D10)</f>
        <v>3100000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9900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7" min="5" style="1" width="16"/>
    <col collapsed="false" customWidth="true" hidden="false" outlineLevel="0" max="8" min="8" style="1" width="18"/>
    <col collapsed="false" customWidth="true" hidden="false" outlineLevel="0" max="9" min="9" style="1" width="55"/>
  </cols>
  <sheetData>
    <row r="1" customFormat="false" ht="15" hidden="false" customHeight="true" outlineLevel="0" collapsed="false">
      <c r="A1" s="2" t="s">
        <v>0</v>
      </c>
      <c r="B1" s="2" t="s">
        <v>99</v>
      </c>
      <c r="C1" s="2" t="s">
        <v>100</v>
      </c>
      <c r="D1" s="2" t="s">
        <v>3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</row>
    <row r="2" customFormat="false" ht="15" hidden="false" customHeight="true" outlineLevel="0" collapsed="false">
      <c r="A2" s="3"/>
      <c r="B2" s="3" t="s">
        <v>106</v>
      </c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n">
        <v>1</v>
      </c>
      <c r="B3" s="4" t="s">
        <v>107</v>
      </c>
      <c r="C3" s="4" t="s">
        <v>108</v>
      </c>
      <c r="D3" s="4" t="s">
        <v>109</v>
      </c>
      <c r="E3" s="5" t="n">
        <v>500000</v>
      </c>
      <c r="F3" s="5" t="n">
        <v>1500000</v>
      </c>
      <c r="G3" s="6" t="n">
        <f aca="false">AVERAGE(E3,F3)</f>
        <v>1000000</v>
      </c>
      <c r="H3" s="5" t="n">
        <v>0</v>
      </c>
      <c r="I3" s="4" t="s">
        <v>110</v>
      </c>
    </row>
    <row r="4" customFormat="false" ht="15" hidden="false" customHeight="true" outlineLevel="0" collapsed="false">
      <c r="A4" s="4" t="n">
        <v>2</v>
      </c>
      <c r="B4" s="4" t="s">
        <v>111</v>
      </c>
      <c r="C4" s="4" t="s">
        <v>112</v>
      </c>
      <c r="D4" s="4" t="s">
        <v>109</v>
      </c>
      <c r="E4" s="5" t="n">
        <v>50000</v>
      </c>
      <c r="F4" s="5" t="n">
        <v>200000</v>
      </c>
      <c r="G4" s="6" t="n">
        <f aca="false">AVERAGE(E4,F4)</f>
        <v>125000</v>
      </c>
      <c r="H4" s="5" t="n">
        <v>0</v>
      </c>
      <c r="I4" s="4" t="s">
        <v>113</v>
      </c>
    </row>
    <row r="5" customFormat="false" ht="15" hidden="false" customHeight="true" outlineLevel="0" collapsed="false">
      <c r="A5" s="4" t="n">
        <v>3</v>
      </c>
      <c r="B5" s="4" t="s">
        <v>114</v>
      </c>
      <c r="C5" s="4" t="s">
        <v>115</v>
      </c>
      <c r="D5" s="4" t="s">
        <v>109</v>
      </c>
      <c r="E5" s="5" t="n">
        <v>350000</v>
      </c>
      <c r="F5" s="5" t="n">
        <v>500000</v>
      </c>
      <c r="G5" s="6" t="n">
        <f aca="false">AVERAGE(E5,F5)</f>
        <v>425000</v>
      </c>
      <c r="H5" s="5" t="n">
        <v>0</v>
      </c>
      <c r="I5" s="4" t="s">
        <v>116</v>
      </c>
    </row>
    <row r="6" customFormat="false" ht="15" hidden="false" customHeight="true" outlineLevel="0" collapsed="false">
      <c r="A6" s="3"/>
      <c r="B6" s="3" t="s">
        <v>117</v>
      </c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A7" s="4" t="n">
        <v>4</v>
      </c>
      <c r="B7" s="4" t="s">
        <v>118</v>
      </c>
      <c r="C7" s="4" t="s">
        <v>115</v>
      </c>
      <c r="D7" s="4" t="s">
        <v>119</v>
      </c>
      <c r="E7" s="5" t="n">
        <v>500000</v>
      </c>
      <c r="F7" s="5" t="n">
        <v>1000000</v>
      </c>
      <c r="G7" s="6" t="n">
        <f aca="false">AVERAGE(E7,F7)</f>
        <v>750000</v>
      </c>
      <c r="H7" s="5" t="n">
        <v>0</v>
      </c>
      <c r="I7" s="4" t="s">
        <v>120</v>
      </c>
    </row>
    <row r="8" customFormat="false" ht="15" hidden="false" customHeight="true" outlineLevel="0" collapsed="false">
      <c r="A8" s="4" t="n">
        <v>5</v>
      </c>
      <c r="B8" s="4" t="s">
        <v>121</v>
      </c>
      <c r="C8" s="4" t="s">
        <v>115</v>
      </c>
      <c r="D8" s="4" t="s">
        <v>119</v>
      </c>
      <c r="E8" s="5" t="n">
        <v>350000</v>
      </c>
      <c r="F8" s="5" t="n">
        <v>500000</v>
      </c>
      <c r="G8" s="6" t="n">
        <f aca="false">AVERAGE(E8,F8)</f>
        <v>425000</v>
      </c>
      <c r="H8" s="5" t="n">
        <v>0</v>
      </c>
      <c r="I8" s="4" t="s">
        <v>122</v>
      </c>
    </row>
    <row r="9" customFormat="false" ht="15" hidden="false" customHeight="true" outlineLevel="0" collapsed="false">
      <c r="A9" s="3"/>
      <c r="B9" s="3" t="s">
        <v>123</v>
      </c>
      <c r="C9" s="3"/>
      <c r="D9" s="3"/>
      <c r="E9" s="3"/>
      <c r="F9" s="3"/>
      <c r="G9" s="3"/>
      <c r="H9" s="3"/>
      <c r="I9" s="3"/>
    </row>
    <row r="10" customFormat="false" ht="15" hidden="false" customHeight="true" outlineLevel="0" collapsed="false">
      <c r="A10" s="4" t="n">
        <v>6</v>
      </c>
      <c r="B10" s="4" t="s">
        <v>124</v>
      </c>
      <c r="C10" s="4" t="s">
        <v>125</v>
      </c>
      <c r="D10" s="4" t="s">
        <v>119</v>
      </c>
      <c r="E10" s="5" t="n">
        <v>750000</v>
      </c>
      <c r="F10" s="5" t="n">
        <v>2000000</v>
      </c>
      <c r="G10" s="6" t="n">
        <f aca="false">AVERAGE(E10,F10)</f>
        <v>1375000</v>
      </c>
      <c r="H10" s="5" t="n">
        <v>0</v>
      </c>
      <c r="I10" s="4" t="s">
        <v>126</v>
      </c>
    </row>
    <row r="11" customFormat="false" ht="15" hidden="false" customHeight="true" outlineLevel="0" collapsed="false">
      <c r="A11" s="3"/>
      <c r="B11" s="3" t="s">
        <v>127</v>
      </c>
      <c r="C11" s="3"/>
      <c r="D11" s="3"/>
      <c r="E11" s="3"/>
      <c r="F11" s="3"/>
      <c r="G11" s="3"/>
      <c r="H11" s="3"/>
      <c r="I11" s="3"/>
    </row>
    <row r="12" customFormat="false" ht="15" hidden="false" customHeight="true" outlineLevel="0" collapsed="false">
      <c r="A12" s="4" t="n">
        <v>7</v>
      </c>
      <c r="B12" s="4" t="s">
        <v>128</v>
      </c>
      <c r="C12" s="4" t="s">
        <v>125</v>
      </c>
      <c r="D12" s="4" t="s">
        <v>119</v>
      </c>
      <c r="E12" s="5" t="n">
        <v>1000000</v>
      </c>
      <c r="F12" s="5" t="n">
        <v>1500000</v>
      </c>
      <c r="G12" s="6" t="n">
        <f aca="false">AVERAGE(E12,F12)</f>
        <v>1250000</v>
      </c>
      <c r="H12" s="5" t="n">
        <v>0</v>
      </c>
      <c r="I12" s="4" t="s">
        <v>129</v>
      </c>
    </row>
    <row r="13" customFormat="false" ht="15" hidden="false" customHeight="true" outlineLevel="0" collapsed="false">
      <c r="A13" s="4" t="n">
        <v>8</v>
      </c>
      <c r="B13" s="4" t="s">
        <v>130</v>
      </c>
      <c r="C13" s="4" t="s">
        <v>131</v>
      </c>
      <c r="D13" s="4" t="s">
        <v>119</v>
      </c>
      <c r="E13" s="5" t="n">
        <v>200000</v>
      </c>
      <c r="F13" s="5" t="n">
        <v>500000</v>
      </c>
      <c r="G13" s="6" t="n">
        <f aca="false">AVERAGE(E13,F13)</f>
        <v>350000</v>
      </c>
      <c r="H13" s="5" t="n">
        <v>0</v>
      </c>
      <c r="I13" s="4" t="s">
        <v>132</v>
      </c>
    </row>
    <row r="14" customFormat="false" ht="15" hidden="false" customHeight="true" outlineLevel="0" collapsed="false">
      <c r="A14" s="4" t="n">
        <v>9</v>
      </c>
      <c r="B14" s="4" t="s">
        <v>133</v>
      </c>
      <c r="C14" s="4" t="s">
        <v>134</v>
      </c>
      <c r="D14" s="4" t="s">
        <v>119</v>
      </c>
      <c r="E14" s="5" t="n">
        <v>400000</v>
      </c>
      <c r="F14" s="5" t="n">
        <v>1000000</v>
      </c>
      <c r="G14" s="6" t="n">
        <f aca="false">AVERAGE(E14,F14)</f>
        <v>700000</v>
      </c>
      <c r="H14" s="5" t="n">
        <v>0</v>
      </c>
      <c r="I14" s="4" t="s">
        <v>135</v>
      </c>
    </row>
    <row r="15" customFormat="false" ht="15" hidden="false" customHeight="true" outlineLevel="0" collapsed="false">
      <c r="A15" s="4" t="n">
        <v>10</v>
      </c>
      <c r="B15" s="4" t="s">
        <v>136</v>
      </c>
      <c r="C15" s="4" t="s">
        <v>137</v>
      </c>
      <c r="D15" s="4" t="s">
        <v>119</v>
      </c>
      <c r="E15" s="5" t="n">
        <v>360000</v>
      </c>
      <c r="F15" s="5" t="n">
        <v>1200000</v>
      </c>
      <c r="G15" s="6" t="n">
        <f aca="false">AVERAGE(E15,F15)</f>
        <v>780000</v>
      </c>
      <c r="H15" s="5" t="n">
        <v>0</v>
      </c>
      <c r="I15" s="4" t="s">
        <v>138</v>
      </c>
    </row>
    <row r="16" customFormat="false" ht="15" hidden="false" customHeight="true" outlineLevel="0" collapsed="false">
      <c r="A16" s="4" t="n">
        <v>11</v>
      </c>
      <c r="B16" s="4" t="s">
        <v>139</v>
      </c>
      <c r="C16" s="4" t="s">
        <v>140</v>
      </c>
      <c r="D16" s="4" t="s">
        <v>119</v>
      </c>
      <c r="E16" s="5" t="n">
        <v>250000</v>
      </c>
      <c r="F16" s="5" t="n">
        <v>750000</v>
      </c>
      <c r="G16" s="6" t="n">
        <f aca="false">AVERAGE(E16,F16)</f>
        <v>500000</v>
      </c>
      <c r="H16" s="5" t="n">
        <v>0</v>
      </c>
      <c r="I16" s="4" t="s">
        <v>141</v>
      </c>
    </row>
    <row r="17" customFormat="false" ht="15" hidden="false" customHeight="true" outlineLevel="0" collapsed="false">
      <c r="A17" s="4" t="n">
        <v>12</v>
      </c>
      <c r="B17" s="4" t="s">
        <v>142</v>
      </c>
      <c r="C17" s="4" t="s">
        <v>131</v>
      </c>
      <c r="D17" s="4" t="s">
        <v>119</v>
      </c>
      <c r="E17" s="5" t="n">
        <v>200000</v>
      </c>
      <c r="F17" s="5" t="n">
        <v>500000</v>
      </c>
      <c r="G17" s="6" t="n">
        <f aca="false">AVERAGE(E17,F17)</f>
        <v>350000</v>
      </c>
      <c r="H17" s="5" t="n">
        <v>0</v>
      </c>
      <c r="I17" s="4" t="s">
        <v>143</v>
      </c>
    </row>
    <row r="18" customFormat="false" ht="15" hidden="false" customHeight="true" outlineLevel="0" collapsed="false">
      <c r="A18" s="4" t="n">
        <v>13</v>
      </c>
      <c r="B18" s="4" t="s">
        <v>144</v>
      </c>
      <c r="C18" s="4" t="s">
        <v>131</v>
      </c>
      <c r="D18" s="4" t="s">
        <v>119</v>
      </c>
      <c r="E18" s="5" t="n">
        <v>200000</v>
      </c>
      <c r="F18" s="5" t="n">
        <v>500000</v>
      </c>
      <c r="G18" s="6" t="n">
        <f aca="false">AVERAGE(E18,F18)</f>
        <v>350000</v>
      </c>
      <c r="H18" s="5" t="n">
        <v>0</v>
      </c>
      <c r="I18" s="4" t="s">
        <v>145</v>
      </c>
    </row>
    <row r="19" customFormat="false" ht="15" hidden="false" customHeight="true" outlineLevel="0" collapsed="false">
      <c r="A19" s="4" t="n">
        <v>14</v>
      </c>
      <c r="B19" s="4" t="s">
        <v>146</v>
      </c>
      <c r="C19" s="4" t="s">
        <v>131</v>
      </c>
      <c r="D19" s="4" t="s">
        <v>119</v>
      </c>
      <c r="E19" s="5" t="n">
        <v>200000</v>
      </c>
      <c r="F19" s="5" t="n">
        <v>500000</v>
      </c>
      <c r="G19" s="6" t="n">
        <f aca="false">AVERAGE(E19,F19)</f>
        <v>350000</v>
      </c>
      <c r="H19" s="5" t="n">
        <v>0</v>
      </c>
      <c r="I19" s="4" t="s">
        <v>147</v>
      </c>
    </row>
    <row r="20" customFormat="false" ht="15" hidden="false" customHeight="true" outlineLevel="0" collapsed="false">
      <c r="A20" s="3"/>
      <c r="B20" s="3" t="s">
        <v>148</v>
      </c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4" t="n">
        <v>15</v>
      </c>
      <c r="B21" s="4" t="s">
        <v>149</v>
      </c>
      <c r="C21" s="4" t="s">
        <v>115</v>
      </c>
      <c r="D21" s="4" t="s">
        <v>119</v>
      </c>
      <c r="E21" s="5" t="n">
        <v>700000</v>
      </c>
      <c r="F21" s="5" t="n">
        <v>2000000</v>
      </c>
      <c r="G21" s="6" t="n">
        <f aca="false">AVERAGE(E21,F21)</f>
        <v>1350000</v>
      </c>
      <c r="H21" s="5" t="n">
        <v>0</v>
      </c>
      <c r="I21" s="4" t="s">
        <v>150</v>
      </c>
    </row>
    <row r="22" customFormat="false" ht="15" hidden="false" customHeight="true" outlineLevel="0" collapsed="false">
      <c r="A22" s="4" t="n">
        <v>16</v>
      </c>
      <c r="B22" s="4" t="s">
        <v>151</v>
      </c>
      <c r="C22" s="4" t="s">
        <v>115</v>
      </c>
      <c r="D22" s="4" t="s">
        <v>119</v>
      </c>
      <c r="E22" s="5" t="n">
        <v>300000</v>
      </c>
      <c r="F22" s="5" t="n">
        <v>750000</v>
      </c>
      <c r="G22" s="6" t="n">
        <f aca="false">AVERAGE(E22,F22)</f>
        <v>525000</v>
      </c>
      <c r="H22" s="5" t="n">
        <v>0</v>
      </c>
      <c r="I22" s="4" t="s">
        <v>152</v>
      </c>
    </row>
    <row r="23" customFormat="false" ht="15" hidden="false" customHeight="true" outlineLevel="0" collapsed="false">
      <c r="A23" s="3"/>
      <c r="B23" s="3" t="s">
        <v>153</v>
      </c>
      <c r="C23" s="3"/>
      <c r="D23" s="3"/>
      <c r="E23" s="3"/>
      <c r="F23" s="3"/>
      <c r="G23" s="3"/>
      <c r="H23" s="3"/>
      <c r="I23" s="3"/>
    </row>
    <row r="24" customFormat="false" ht="15" hidden="false" customHeight="true" outlineLevel="0" collapsed="false">
      <c r="A24" s="4" t="n">
        <v>17</v>
      </c>
      <c r="B24" s="4" t="s">
        <v>154</v>
      </c>
      <c r="C24" s="4" t="s">
        <v>125</v>
      </c>
      <c r="D24" s="4" t="s">
        <v>119</v>
      </c>
      <c r="E24" s="5" t="n">
        <v>400000</v>
      </c>
      <c r="F24" s="5" t="n">
        <v>1000000</v>
      </c>
      <c r="G24" s="6" t="n">
        <f aca="false">AVERAGE(E24,F24)</f>
        <v>700000</v>
      </c>
      <c r="H24" s="5" t="n">
        <v>0</v>
      </c>
      <c r="I24" s="4" t="s">
        <v>155</v>
      </c>
    </row>
    <row r="25" customFormat="false" ht="15" hidden="false" customHeight="true" outlineLevel="0" collapsed="false">
      <c r="A25" s="4" t="n">
        <v>18</v>
      </c>
      <c r="B25" s="4" t="s">
        <v>156</v>
      </c>
      <c r="C25" s="4" t="s">
        <v>115</v>
      </c>
      <c r="D25" s="4" t="s">
        <v>119</v>
      </c>
      <c r="E25" s="5" t="n">
        <v>100000</v>
      </c>
      <c r="F25" s="5" t="n">
        <v>300000</v>
      </c>
      <c r="G25" s="6" t="n">
        <f aca="false">AVERAGE(E25,F25)</f>
        <v>200000</v>
      </c>
      <c r="H25" s="5" t="n">
        <v>0</v>
      </c>
      <c r="I25" s="4" t="s">
        <v>157</v>
      </c>
    </row>
    <row r="26" customFormat="false" ht="15" hidden="false" customHeight="true" outlineLevel="0" collapsed="false">
      <c r="A26" s="4" t="n">
        <v>19</v>
      </c>
      <c r="B26" s="4" t="s">
        <v>158</v>
      </c>
      <c r="C26" s="4" t="s">
        <v>159</v>
      </c>
      <c r="D26" s="4" t="s">
        <v>119</v>
      </c>
      <c r="E26" s="5" t="n">
        <v>300000</v>
      </c>
      <c r="F26" s="5" t="n">
        <v>600000</v>
      </c>
      <c r="G26" s="6" t="n">
        <f aca="false">AVERAGE(E26,F26)</f>
        <v>450000</v>
      </c>
      <c r="H26" s="5" t="n">
        <v>0</v>
      </c>
      <c r="I26" s="4" t="s">
        <v>160</v>
      </c>
    </row>
    <row r="27" customFormat="false" ht="15" hidden="false" customHeight="true" outlineLevel="0" collapsed="false">
      <c r="A27" s="4" t="n">
        <v>20</v>
      </c>
      <c r="B27" s="4" t="s">
        <v>161</v>
      </c>
      <c r="C27" s="4" t="s">
        <v>115</v>
      </c>
      <c r="D27" s="4" t="s">
        <v>119</v>
      </c>
      <c r="E27" s="5" t="n">
        <v>100000</v>
      </c>
      <c r="F27" s="5" t="n">
        <v>300000</v>
      </c>
      <c r="G27" s="6" t="n">
        <f aca="false">AVERAGE(E27,F27)</f>
        <v>200000</v>
      </c>
      <c r="H27" s="5" t="n">
        <v>0</v>
      </c>
      <c r="I27" s="4" t="s">
        <v>162</v>
      </c>
    </row>
    <row r="29" customFormat="false" ht="15" hidden="false" customHeight="true" outlineLevel="0" collapsed="false">
      <c r="B29" s="8" t="s">
        <v>163</v>
      </c>
      <c r="E29" s="9" t="n">
        <f aca="false">SUM(E2:E27)</f>
        <v>7210000</v>
      </c>
      <c r="F29" s="9" t="n">
        <f aca="false">SUM(F2:F27)</f>
        <v>17100000</v>
      </c>
      <c r="G29" s="9" t="n">
        <f aca="false">SUM(G2:G27)</f>
        <v>12155000</v>
      </c>
      <c r="H29" s="9" t="n">
        <f aca="false">SUM(H2:H27)</f>
        <v>0</v>
      </c>
    </row>
    <row r="30" customFormat="false" ht="15" hidden="false" customHeight="true" outlineLevel="0" collapsed="false">
      <c r="B30" s="10" t="s">
        <v>164</v>
      </c>
      <c r="E30" s="11" t="n">
        <f aca="false">E3+E4+E5</f>
        <v>900000</v>
      </c>
      <c r="F30" s="11" t="n">
        <f aca="false">F3+F4+F5</f>
        <v>2200000</v>
      </c>
      <c r="G30" s="11" t="n">
        <f aca="false">G3+G4+G5</f>
        <v>1550000</v>
      </c>
    </row>
    <row r="31" customFormat="false" ht="15" hidden="false" customHeight="true" outlineLevel="0" collapsed="false">
      <c r="B31" s="10" t="s">
        <v>165</v>
      </c>
      <c r="E31" s="11" t="n">
        <f aca="false">E7+E8+E10+E12+E13+E14+E15+E16+E17+E18+E19+E21+E22+E24+E25+E26+E27</f>
        <v>6310000</v>
      </c>
      <c r="F31" s="11" t="n">
        <f aca="false">F7+F8+F10+F12+F13+F14+F15+F16+F17+F18+F19+F21+F22+F24+F25+F26+F27</f>
        <v>14900000</v>
      </c>
      <c r="G31" s="11" t="n">
        <f aca="false">G7+G8+G10+G12+G13+G14+G15+G16+G17+G18+G19+G21+G22+G24+G25+G26+G27</f>
        <v>10605000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4" min="2" style="1" width="20"/>
  </cols>
  <sheetData>
    <row r="1" customFormat="false" ht="17.25" hidden="false" customHeight="true" outlineLevel="0" collapsed="false">
      <c r="A1" s="12" t="s">
        <v>166</v>
      </c>
    </row>
    <row r="2" customFormat="false" ht="15" hidden="false" customHeight="true" outlineLevel="0" collapsed="false">
      <c r="A2" s="13" t="s">
        <v>167</v>
      </c>
    </row>
    <row r="4" customFormat="false" ht="15" hidden="false" customHeight="true" outlineLevel="0" collapsed="false">
      <c r="A4" s="2"/>
      <c r="B4" s="2" t="s">
        <v>168</v>
      </c>
      <c r="C4" s="2" t="s">
        <v>169</v>
      </c>
      <c r="D4" s="2" t="s">
        <v>170</v>
      </c>
    </row>
    <row r="5" customFormat="false" ht="15" hidden="false" customHeight="true" outlineLevel="0" collapsed="false">
      <c r="A5" s="3" t="s">
        <v>171</v>
      </c>
      <c r="B5" s="3"/>
      <c r="C5" s="3"/>
      <c r="D5" s="3"/>
    </row>
    <row r="6" customFormat="false" ht="15" hidden="false" customHeight="true" outlineLevel="0" collapsed="false">
      <c r="A6" s="6" t="s">
        <v>172</v>
      </c>
      <c r="B6" s="6" t="n">
        <f aca="false">'PBC Personnel'!L57</f>
        <v>5257000</v>
      </c>
      <c r="C6" s="6" t="n">
        <f aca="false">'PBC Personnel'!M57</f>
        <v>7273000</v>
      </c>
      <c r="D6" s="6" t="n">
        <f aca="false">'PBC Personnel'!N57</f>
        <v>7831250</v>
      </c>
    </row>
    <row r="7" customFormat="false" ht="15" hidden="false" customHeight="true" outlineLevel="0" collapsed="false">
      <c r="A7" s="6" t="s">
        <v>173</v>
      </c>
      <c r="B7" s="6" t="n">
        <f aca="false">'PBC Operations'!B11</f>
        <v>1900000</v>
      </c>
      <c r="C7" s="6" t="n">
        <f aca="false">'PBC Operations'!C11</f>
        <v>4300000</v>
      </c>
      <c r="D7" s="6" t="n">
        <f aca="false">'PBC Operations'!D11</f>
        <v>3100000</v>
      </c>
    </row>
    <row r="8" customFormat="false" ht="15" hidden="false" customHeight="true" outlineLevel="0" collapsed="false">
      <c r="A8" s="9" t="s">
        <v>174</v>
      </c>
      <c r="B8" s="9" t="n">
        <f aca="false">B6+B7</f>
        <v>7157000</v>
      </c>
      <c r="C8" s="9" t="n">
        <f aca="false">C6+C7</f>
        <v>11573000</v>
      </c>
      <c r="D8" s="9" t="n">
        <f aca="false">D6+D7</f>
        <v>10931250</v>
      </c>
    </row>
    <row r="10" customFormat="false" ht="15" hidden="false" customHeight="true" outlineLevel="0" collapsed="false">
      <c r="A10" s="3" t="s">
        <v>175</v>
      </c>
      <c r="B10" s="3"/>
      <c r="C10" s="3"/>
      <c r="D10" s="3"/>
    </row>
    <row r="11" customFormat="false" ht="15" hidden="false" customHeight="true" outlineLevel="0" collapsed="false">
      <c r="A11" s="6" t="s">
        <v>176</v>
      </c>
      <c r="B11" s="6" t="n">
        <f aca="false">'PBC Revenue'!E30</f>
        <v>900000</v>
      </c>
      <c r="C11" s="6" t="n">
        <f aca="false">'PBC Revenue'!F30</f>
        <v>2200000</v>
      </c>
      <c r="D11" s="6" t="n">
        <f aca="false">'PBC Revenue'!G30</f>
        <v>1550000</v>
      </c>
    </row>
    <row r="12" customFormat="false" ht="15" hidden="false" customHeight="true" outlineLevel="0" collapsed="false">
      <c r="A12" s="6" t="s">
        <v>177</v>
      </c>
      <c r="B12" s="6" t="n">
        <f aca="false">'PBC Revenue'!E31</f>
        <v>6310000</v>
      </c>
      <c r="C12" s="6" t="n">
        <f aca="false">'PBC Revenue'!F31</f>
        <v>14900000</v>
      </c>
      <c r="D12" s="6" t="n">
        <f aca="false">'PBC Revenue'!G31</f>
        <v>10605000</v>
      </c>
    </row>
    <row r="13" customFormat="false" ht="15" hidden="false" customHeight="true" outlineLevel="0" collapsed="false">
      <c r="A13" s="6" t="s">
        <v>178</v>
      </c>
      <c r="B13" s="5" t="n">
        <v>0</v>
      </c>
      <c r="C13" s="5" t="n">
        <v>0</v>
      </c>
      <c r="D13" s="5" t="n">
        <v>0</v>
      </c>
    </row>
    <row r="14" customFormat="false" ht="15" hidden="false" customHeight="true" outlineLevel="0" collapsed="false">
      <c r="A14" s="9" t="s">
        <v>163</v>
      </c>
      <c r="B14" s="9" t="n">
        <f aca="false">B11+B12+B13</f>
        <v>7210000</v>
      </c>
      <c r="C14" s="9" t="n">
        <f aca="false">C11+C12+C13</f>
        <v>17100000</v>
      </c>
      <c r="D14" s="9" t="n">
        <f aca="false">D11+D12+D13</f>
        <v>12155000</v>
      </c>
    </row>
    <row r="16" customFormat="false" ht="15" hidden="false" customHeight="true" outlineLevel="0" collapsed="false">
      <c r="A16" s="9" t="s">
        <v>179</v>
      </c>
      <c r="B16" s="9" t="n">
        <f aca="false">B14-B8</f>
        <v>53000</v>
      </c>
      <c r="C16" s="9" t="n">
        <f aca="false">C14-C8</f>
        <v>5527000</v>
      </c>
      <c r="D16" s="9" t="n">
        <f aca="false">D14-D8</f>
        <v>1223750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2026-05-19T02:02:16Z</dcterms:created>
  <dc:creator>openpyxl</dc:creator>
  <dc:description/>
  <dc:language>en-US</dc:language>
  <cp:lastModifiedBy/>
  <dcterms:modified xsi:type="dcterms:W3CDTF">2026-05-19T02:11:07Z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