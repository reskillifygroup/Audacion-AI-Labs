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Personnel" sheetId="1" state="visible" r:id="rId3"/>
    <sheet name="PBC Operations" sheetId="2" state="visible" r:id="rId4"/>
    <sheet name="PBC Revenue" sheetId="3" state="visible" r:id="rId5"/>
    <sheet name="PBC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<sst xmlns="http://schemas.openxmlformats.org/spreadsheetml/2006/main" count="229" uniqueCount="160">
  <si>
    <t xml:space="preserve">#</t>
  </si>
  <si>
    <t xml:space="preserve">Role</t>
  </si>
  <si>
    <t xml:space="preserve">Salary Mid</t>
  </si>
  <si>
    <t xml:space="preserve">Fringe 25%</t>
  </si>
  <si>
    <t xml:space="preserve">Fully Loaded</t>
  </si>
  <si>
    <t xml:space="preserve">Phase</t>
  </si>
  <si>
    <t xml:space="preserve">Start Mo</t>
  </si>
  <si>
    <t xml:space="preserve">Year 1 Cost</t>
  </si>
  <si>
    <t xml:space="preserve">Year 2 Cost</t>
  </si>
  <si>
    <t xml:space="preserve">Year 3 Cost</t>
  </si>
  <si>
    <t xml:space="preserve">LEADERSHIP</t>
  </si>
  <si>
    <t xml:space="preserve">Founder and CEO (Dee Williams)</t>
  </si>
  <si>
    <t xml:space="preserve">Now</t>
  </si>
  <si>
    <t xml:space="preserve">Chief Science Officer</t>
  </si>
  <si>
    <t xml:space="preserve">Yr 2</t>
  </si>
  <si>
    <t xml:space="preserve">Chief of Staff to CEO</t>
  </si>
  <si>
    <t xml:space="preserve">RESEARCH</t>
  </si>
  <si>
    <t xml:space="preserve">Director of Research</t>
  </si>
  <si>
    <t xml:space="preserve">Yr 1</t>
  </si>
  <si>
    <t xml:space="preserve">Pillar Lead: Post-Deployment Behavior</t>
  </si>
  <si>
    <t xml:space="preserve">Pillar Lead: Runtime Research</t>
  </si>
  <si>
    <t xml:space="preserve">Pillar Lead: Interaction Dynamics</t>
  </si>
  <si>
    <t xml:space="preserve">Pillar Lead: Substrate Governance</t>
  </si>
  <si>
    <t xml:space="preserve">Pillar Lead: Multi-Agent Safety</t>
  </si>
  <si>
    <t xml:space="preserve">Research Analyst 1</t>
  </si>
  <si>
    <t xml:space="preserve">Research Analyst 2</t>
  </si>
  <si>
    <t xml:space="preserve">Research Analyst 3</t>
  </si>
  <si>
    <t xml:space="preserve">Research Program Manager</t>
  </si>
  <si>
    <t xml:space="preserve">Research Editor</t>
  </si>
  <si>
    <t xml:space="preserve">Behavioral Health Adviser (PT)</t>
  </si>
  <si>
    <t xml:space="preserve">Data Scientist / ML Engineer</t>
  </si>
  <si>
    <t xml:space="preserve">IRB / Research Ethics Officer (Consultant)</t>
  </si>
  <si>
    <t xml:space="preserve">TECHNOLOGY</t>
  </si>
  <si>
    <t xml:space="preserve">Lead Engineer</t>
  </si>
  <si>
    <t xml:space="preserve">Data Engineer</t>
  </si>
  <si>
    <t xml:space="preserve">IT / Systems Admin (PT)</t>
  </si>
  <si>
    <t xml:space="preserve">DevSecOps / Security Engineer</t>
  </si>
  <si>
    <t xml:space="preserve">PARTNERSHIPS AND SALES</t>
  </si>
  <si>
    <t xml:space="preserve">Head of Strategic Partnerships</t>
  </si>
  <si>
    <t xml:space="preserve">Corporate Partnerships Rep</t>
  </si>
  <si>
    <t xml:space="preserve">Head of AI Policy / Gov Relations</t>
  </si>
  <si>
    <t xml:space="preserve">Head of Academic Relations</t>
  </si>
  <si>
    <t xml:space="preserve">Evaluations &amp; Assessments Sales Rep</t>
  </si>
  <si>
    <t xml:space="preserve">Training &amp; Certification Sales Rep</t>
  </si>
  <si>
    <t xml:space="preserve">Events &amp; Sponsorship Sales Rep</t>
  </si>
  <si>
    <t xml:space="preserve">EVENTS</t>
  </si>
  <si>
    <t xml:space="preserve">Events Director</t>
  </si>
  <si>
    <t xml:space="preserve">Events Coordinator</t>
  </si>
  <si>
    <t xml:space="preserve">COMMUNITY AND CONTENT</t>
  </si>
  <si>
    <t xml:space="preserve">Community Director</t>
  </si>
  <si>
    <t xml:space="preserve">Content and Communications Lead</t>
  </si>
  <si>
    <t xml:space="preserve">Fellowship Growth Manager</t>
  </si>
  <si>
    <t xml:space="preserve">PR and Media Relations Manager</t>
  </si>
  <si>
    <t xml:space="preserve">Multimedia / Video Producer</t>
  </si>
  <si>
    <t xml:space="preserve">CREATIVE</t>
  </si>
  <si>
    <t xml:space="preserve">Creative Director</t>
  </si>
  <si>
    <t xml:space="preserve">Graphic Designer</t>
  </si>
  <si>
    <t xml:space="preserve">LEARNING AND TRAINING</t>
  </si>
  <si>
    <t xml:space="preserve">Trainer / Curriculum Director</t>
  </si>
  <si>
    <t xml:space="preserve">OPERATIONS AND ADMINISTRATION</t>
  </si>
  <si>
    <t xml:space="preserve">Operations Manager</t>
  </si>
  <si>
    <t xml:space="preserve">Finance Manager</t>
  </si>
  <si>
    <t xml:space="preserve">Bookkeeper (PT)</t>
  </si>
  <si>
    <t xml:space="preserve">Office Administrator</t>
  </si>
  <si>
    <t xml:space="preserve">HR Manager</t>
  </si>
  <si>
    <t xml:space="preserve">Internal Talent Recruiter</t>
  </si>
  <si>
    <t xml:space="preserve">Executive Assistant to CEO</t>
  </si>
  <si>
    <t xml:space="preserve">Fractional Legal Counsel</t>
  </si>
  <si>
    <t xml:space="preserve">DEVELOPMENT AND FUNDRAISING</t>
  </si>
  <si>
    <t xml:space="preserve">Grant Writer / Development Officer</t>
  </si>
  <si>
    <t xml:space="preserve">TOTAL PBC PERSONNEL</t>
  </si>
  <si>
    <t xml:space="preserve">Category</t>
  </si>
  <si>
    <t xml:space="preserve">Year 1</t>
  </si>
  <si>
    <t xml:space="preserve">Year 2</t>
  </si>
  <si>
    <t xml:space="preserve">Year 3</t>
  </si>
  <si>
    <t xml:space="preserve">Notes</t>
  </si>
  <si>
    <t xml:space="preserve">Office Space (Marina del Rey)</t>
  </si>
  <si>
    <t xml:space="preserve">Scaling space as team grows</t>
  </si>
  <si>
    <t xml:space="preserve">Technology Infrastructure</t>
  </si>
  <si>
    <t xml:space="preserve">Hosting, cloud, platform, tools</t>
  </si>
  <si>
    <t xml:space="preserve">Events Production (scaling with schedule)</t>
  </si>
  <si>
    <t xml:space="preserve">Year 1: 15 events. Year 2: 25. Year 3: 30.</t>
  </si>
  <si>
    <t xml:space="preserve">Legal and Insurance</t>
  </si>
  <si>
    <t xml:space="preserve">D&amp;O, E&amp;O, liability, IP counsel</t>
  </si>
  <si>
    <t xml:space="preserve">Marketing and Advertising</t>
  </si>
  <si>
    <t xml:space="preserve">Digital, print, conference marketing</t>
  </si>
  <si>
    <t xml:space="preserve">Travel</t>
  </si>
  <si>
    <t xml:space="preserve">Staff travel, conference attendance</t>
  </si>
  <si>
    <t xml:space="preserve">Equipment and Supplies</t>
  </si>
  <si>
    <t xml:space="preserve">Heavy Year 1 for initial buildout</t>
  </si>
  <si>
    <t xml:space="preserve">Software and Subscriptions</t>
  </si>
  <si>
    <t xml:space="preserve">SaaS, research tools, licenses</t>
  </si>
  <si>
    <t xml:space="preserve">Contingency (10%)</t>
  </si>
  <si>
    <t xml:space="preserve">Buffer for unexpected costs</t>
  </si>
  <si>
    <t xml:space="preserve">TOTAL OPERATIONS</t>
  </si>
  <si>
    <t xml:space="preserve">Revenue Stream</t>
  </si>
  <si>
    <t xml:space="preserve">Type</t>
  </si>
  <si>
    <t xml:space="preserve">Assumptions</t>
  </si>
  <si>
    <t xml:space="preserve">GRANTS (Direct to PBC)</t>
  </si>
  <si>
    <t xml:space="preserve">SBIR/STTR Grants</t>
  </si>
  <si>
    <t xml:space="preserve">Grants</t>
  </si>
  <si>
    <t xml:space="preserve">Phase I $275K + Phase II $1M. 2 apps Year 1, scale Year 2+.</t>
  </si>
  <si>
    <t xml:space="preserve">State Innovation Grants</t>
  </si>
  <si>
    <t xml:space="preserve">CalOSBA + other state programs.</t>
  </si>
  <si>
    <t xml:space="preserve">Corporate Sponsored Research</t>
  </si>
  <si>
    <t xml:space="preserve">3 to 5 sponsors funding pillar research. $75K to $150K each.</t>
  </si>
  <si>
    <t xml:space="preserve">EVALUATIONS AND ASSESSMENTS</t>
  </si>
  <si>
    <t xml:space="preserve">Post-Deployment Safety Audits</t>
  </si>
  <si>
    <t xml:space="preserve">Earned</t>
  </si>
  <si>
    <t xml:space="preserve">10 audits Yr1 at $50K avg. Scale to 20+ Yr3. Two sales reps.</t>
  </si>
  <si>
    <t xml:space="preserve">Regulatory Readiness Assessments</t>
  </si>
  <si>
    <t xml:space="preserve">15 assessments Yr1. AI regulation accelerating demand.</t>
  </si>
  <si>
    <t xml:space="preserve">PARTNERSHIPS</t>
  </si>
  <si>
    <t xml:space="preserve">Corporate Research Partnerships</t>
  </si>
  <si>
    <t xml:space="preserve">$25K to $50K annual. 30 partners Yr1, 50 Yr2, 75 Yr3.</t>
  </si>
  <si>
    <t xml:space="preserve">CONFERENCES AND EVENTS</t>
  </si>
  <si>
    <t xml:space="preserve">PRISM Summit (annual in-person)</t>
  </si>
  <si>
    <t xml:space="preserve">300 attendees. Tickets + 20 sponsors + merch + activations.</t>
  </si>
  <si>
    <t xml:space="preserve">Virtual Conferences (1 to 2/yr)</t>
  </si>
  <si>
    <t xml:space="preserve">Global reach. Lower overhead. Sponsors.</t>
  </si>
  <si>
    <t xml:space="preserve">Golf Tournaments (4/yr)</t>
  </si>
  <si>
    <t xml:space="preserve">$125K per tournament. Tickets, foursomes, sponsors, prizes.</t>
  </si>
  <si>
    <t xml:space="preserve">Round Tables (12/yr)</t>
  </si>
  <si>
    <t xml:space="preserve">$2.5K to $5K per seat. 15 seats avg. Monthly.</t>
  </si>
  <si>
    <t xml:space="preserve">Think Tanks (5/yr)</t>
  </si>
  <si>
    <t xml:space="preserve">$5K to $10K per seat. 12 seats avg. Final at Summit.</t>
  </si>
  <si>
    <t xml:space="preserve">Hackathon / Challenge Event</t>
  </si>
  <si>
    <t xml:space="preserve">Sponsors fund prizes. Entry fees. Media.</t>
  </si>
  <si>
    <t xml:space="preserve">Telethons / Webathons (1 to 2/yr)</t>
  </si>
  <si>
    <t xml:space="preserve">Live fundraising. Community driven.</t>
  </si>
  <si>
    <t xml:space="preserve">Retreats (1 to 2/yr)</t>
  </si>
  <si>
    <t xml:space="preserve">$5K to $10K per attendee. 25 to 50 people.</t>
  </si>
  <si>
    <t xml:space="preserve">CERTIFICATION AND TRAINING</t>
  </si>
  <si>
    <t xml:space="preserve">Certification Program</t>
  </si>
  <si>
    <t xml:space="preserve">$3.5K avg. 200 certs Yr1. Enterprise cohorts. Scale to 500+.</t>
  </si>
  <si>
    <t xml:space="preserve">Learning Academy (paid advanced)</t>
  </si>
  <si>
    <t xml:space="preserve">Free portal + paid classes. University partnerships.</t>
  </si>
  <si>
    <t xml:space="preserve">PRODUCTS AND COMMUNITY</t>
  </si>
  <si>
    <t xml:space="preserve">Annual Industry Report</t>
  </si>
  <si>
    <t xml:space="preserve">$10K avg per enterprise copy. 40 Yr1, 75 Yr2, 100 Yr3.</t>
  </si>
  <si>
    <t xml:space="preserve">Digital Products / Lead Magnets</t>
  </si>
  <si>
    <t xml:space="preserve">Guides, frameworks, toolkits. Top of funnel.</t>
  </si>
  <si>
    <t xml:space="preserve">Online Community / Paid Membership</t>
  </si>
  <si>
    <t xml:space="preserve">500 to 2000 members. $25 to $100/month.</t>
  </si>
  <si>
    <t xml:space="preserve">Merchandise</t>
  </si>
  <si>
    <t xml:space="preserve">PRISM branded. Conference merch. Online store.</t>
  </si>
  <si>
    <t xml:space="preserve">TOTAL PBC REVENUE</t>
  </si>
  <si>
    <t xml:space="preserve">AUDACION AI LABS PBC</t>
  </si>
  <si>
    <t xml:space="preserve">Three-Year Financial Summary</t>
  </si>
  <si>
    <t xml:space="preserve">EXPENSES</t>
  </si>
  <si>
    <t xml:space="preserve">Personnel (phased hiring)</t>
  </si>
  <si>
    <t xml:space="preserve">Operations</t>
  </si>
  <si>
    <t xml:space="preserve">TOTAL EXPENSES</t>
  </si>
  <si>
    <t xml:space="preserve">REVENUE</t>
  </si>
  <si>
    <t xml:space="preserve">Total Revenue</t>
  </si>
  <si>
    <t xml:space="preserve">Contract Revenue from Nonprofit</t>
  </si>
  <si>
    <t xml:space="preserve">TOTAL REVENUE</t>
  </si>
  <si>
    <t xml:space="preserve">NET (Revenue minus Expenses)</t>
  </si>
  <si>
    <t xml:space="preserve">Headcount</t>
  </si>
  <si>
    <t xml:space="preserve">Revenue Streams Active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</si>
</sst>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A1A2E"/>
      <name val="Arial"/>
      <family val="0"/>
      <charset val="1"/>
    </font>
    <font>
      <b val="true"/>
      <sz val="12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J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5" min="3" style="1" width="14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10" min="8" style="1" width="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/>
      <c r="B2" s="3" t="s">
        <v>10</v>
      </c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n">
        <v>1</v>
      </c>
      <c r="B3" s="4" t="s">
        <v>11</v>
      </c>
      <c r="C3" s="5" t="n">
        <v>250000</v>
      </c>
      <c r="D3" s="6" t="n">
        <f aca="false">C3*0.25</f>
        <v>62500</v>
      </c>
      <c r="E3" s="6" t="n">
        <f aca="false">C3+D3</f>
        <v>312500</v>
      </c>
      <c r="F3" s="4" t="s">
        <v>12</v>
      </c>
      <c r="G3" s="7" t="n">
        <v>1</v>
      </c>
      <c r="H3" s="6" t="n">
        <f aca="false">E3*12/12</f>
        <v>312500</v>
      </c>
      <c r="I3" s="6" t="n">
        <f aca="false">E3</f>
        <v>312500</v>
      </c>
      <c r="J3" s="6" t="n">
        <f aca="false">E3</f>
        <v>312500</v>
      </c>
    </row>
    <row r="4" customFormat="false" ht="15" hidden="false" customHeight="true" outlineLevel="0" collapsed="false">
      <c r="A4" s="4" t="n">
        <v>2</v>
      </c>
      <c r="B4" s="4" t="s">
        <v>13</v>
      </c>
      <c r="C4" s="5" t="n">
        <v>300000</v>
      </c>
      <c r="D4" s="6" t="n">
        <f aca="false">C4*0.25</f>
        <v>75000</v>
      </c>
      <c r="E4" s="6" t="n">
        <f aca="false">C4+D4</f>
        <v>375000</v>
      </c>
      <c r="F4" s="4" t="s">
        <v>14</v>
      </c>
      <c r="G4" s="7"/>
      <c r="H4" s="6" t="n">
        <v>0</v>
      </c>
      <c r="I4" s="6" t="n">
        <f aca="false">E4*6/12</f>
        <v>187500</v>
      </c>
      <c r="J4" s="6" t="n">
        <f aca="false">E4</f>
        <v>375000</v>
      </c>
    </row>
    <row r="5" customFormat="false" ht="15" hidden="false" customHeight="true" outlineLevel="0" collapsed="false">
      <c r="A5" s="4" t="n">
        <v>3</v>
      </c>
      <c r="B5" s="4" t="s">
        <v>15</v>
      </c>
      <c r="C5" s="5" t="n">
        <v>175000</v>
      </c>
      <c r="D5" s="6" t="n">
        <f aca="false">C5*0.25</f>
        <v>43750</v>
      </c>
      <c r="E5" s="6" t="n">
        <f aca="false">C5+D5</f>
        <v>218750</v>
      </c>
      <c r="F5" s="4" t="s">
        <v>14</v>
      </c>
      <c r="G5" s="7"/>
      <c r="H5" s="6" t="n">
        <v>0</v>
      </c>
      <c r="I5" s="6" t="n">
        <f aca="false">E5*6/12</f>
        <v>109375</v>
      </c>
      <c r="J5" s="6" t="n">
        <f aca="false">E5</f>
        <v>218750</v>
      </c>
    </row>
    <row r="6" customFormat="false" ht="15" hidden="false" customHeight="true" outlineLevel="0" collapsed="false">
      <c r="A6" s="3"/>
      <c r="B6" s="3" t="s">
        <v>16</v>
      </c>
      <c r="C6" s="3"/>
      <c r="D6" s="3"/>
      <c r="E6" s="3"/>
      <c r="F6" s="3"/>
      <c r="G6" s="3"/>
      <c r="H6" s="3"/>
      <c r="I6" s="3"/>
      <c r="J6" s="3"/>
    </row>
    <row r="7" customFormat="false" ht="15" hidden="false" customHeight="true" outlineLevel="0" collapsed="false">
      <c r="A7" s="4" t="n">
        <v>4</v>
      </c>
      <c r="B7" s="4" t="s">
        <v>17</v>
      </c>
      <c r="C7" s="5" t="n">
        <v>260000</v>
      </c>
      <c r="D7" s="6" t="n">
        <f aca="false">C7*0.25</f>
        <v>65000</v>
      </c>
      <c r="E7" s="6" t="n">
        <f aca="false">C7+D7</f>
        <v>325000</v>
      </c>
      <c r="F7" s="4" t="s">
        <v>18</v>
      </c>
      <c r="G7" s="7" t="n">
        <v>1</v>
      </c>
      <c r="H7" s="6" t="n">
        <f aca="false">E7*12/12</f>
        <v>325000</v>
      </c>
      <c r="I7" s="6" t="n">
        <f aca="false">E7</f>
        <v>325000</v>
      </c>
      <c r="J7" s="6" t="n">
        <f aca="false">E7</f>
        <v>325000</v>
      </c>
    </row>
    <row r="8" customFormat="false" ht="15" hidden="false" customHeight="true" outlineLevel="0" collapsed="false">
      <c r="A8" s="4" t="n">
        <v>5</v>
      </c>
      <c r="B8" s="4" t="s">
        <v>19</v>
      </c>
      <c r="C8" s="5" t="n">
        <v>200000</v>
      </c>
      <c r="D8" s="6" t="n">
        <f aca="false">C8*0.25</f>
        <v>50000</v>
      </c>
      <c r="E8" s="6" t="n">
        <f aca="false">C8+D8</f>
        <v>250000</v>
      </c>
      <c r="F8" s="4" t="s">
        <v>18</v>
      </c>
      <c r="G8" s="7" t="n">
        <v>3</v>
      </c>
      <c r="H8" s="6" t="n">
        <f aca="false">E8*10/12</f>
        <v>208333.333333333</v>
      </c>
      <c r="I8" s="6" t="n">
        <f aca="false">E8</f>
        <v>250000</v>
      </c>
      <c r="J8" s="6" t="n">
        <f aca="false">E8</f>
        <v>250000</v>
      </c>
    </row>
    <row r="9" customFormat="false" ht="15" hidden="false" customHeight="true" outlineLevel="0" collapsed="false">
      <c r="A9" s="4" t="n">
        <v>6</v>
      </c>
      <c r="B9" s="4" t="s">
        <v>20</v>
      </c>
      <c r="C9" s="5" t="n">
        <v>200000</v>
      </c>
      <c r="D9" s="6" t="n">
        <f aca="false">C9*0.25</f>
        <v>50000</v>
      </c>
      <c r="E9" s="6" t="n">
        <f aca="false">C9+D9</f>
        <v>250000</v>
      </c>
      <c r="F9" s="4" t="s">
        <v>18</v>
      </c>
      <c r="G9" s="7" t="n">
        <v>3</v>
      </c>
      <c r="H9" s="6" t="n">
        <f aca="false">E9*10/12</f>
        <v>208333.333333333</v>
      </c>
      <c r="I9" s="6" t="n">
        <f aca="false">E9</f>
        <v>250000</v>
      </c>
      <c r="J9" s="6" t="n">
        <f aca="false">E9</f>
        <v>250000</v>
      </c>
    </row>
    <row r="10" customFormat="false" ht="15" hidden="false" customHeight="true" outlineLevel="0" collapsed="false">
      <c r="A10" s="4" t="n">
        <v>7</v>
      </c>
      <c r="B10" s="4" t="s">
        <v>21</v>
      </c>
      <c r="C10" s="5" t="n">
        <v>200000</v>
      </c>
      <c r="D10" s="6" t="n">
        <f aca="false">C10*0.25</f>
        <v>50000</v>
      </c>
      <c r="E10" s="6" t="n">
        <f aca="false">C10+D10</f>
        <v>250000</v>
      </c>
      <c r="F10" s="4" t="s">
        <v>18</v>
      </c>
      <c r="G10" s="7" t="n">
        <v>4</v>
      </c>
      <c r="H10" s="6" t="n">
        <f aca="false">E10*9/12</f>
        <v>187500</v>
      </c>
      <c r="I10" s="6" t="n">
        <f aca="false">E10</f>
        <v>250000</v>
      </c>
      <c r="J10" s="6" t="n">
        <f aca="false">E10</f>
        <v>250000</v>
      </c>
    </row>
    <row r="11" customFormat="false" ht="15" hidden="false" customHeight="true" outlineLevel="0" collapsed="false">
      <c r="A11" s="4" t="n">
        <v>8</v>
      </c>
      <c r="B11" s="4" t="s">
        <v>22</v>
      </c>
      <c r="C11" s="5" t="n">
        <v>200000</v>
      </c>
      <c r="D11" s="6" t="n">
        <f aca="false">C11*0.25</f>
        <v>50000</v>
      </c>
      <c r="E11" s="6" t="n">
        <f aca="false">C11+D11</f>
        <v>250000</v>
      </c>
      <c r="F11" s="4" t="s">
        <v>18</v>
      </c>
      <c r="G11" s="7" t="n">
        <v>4</v>
      </c>
      <c r="H11" s="6" t="n">
        <f aca="false">E11*9/12</f>
        <v>187500</v>
      </c>
      <c r="I11" s="6" t="n">
        <f aca="false">E11</f>
        <v>250000</v>
      </c>
      <c r="J11" s="6" t="n">
        <f aca="false">E11</f>
        <v>250000</v>
      </c>
    </row>
    <row r="12" customFormat="false" ht="15" hidden="false" customHeight="true" outlineLevel="0" collapsed="false">
      <c r="A12" s="4" t="n">
        <v>9</v>
      </c>
      <c r="B12" s="4" t="s">
        <v>23</v>
      </c>
      <c r="C12" s="5" t="n">
        <v>200000</v>
      </c>
      <c r="D12" s="6" t="n">
        <f aca="false">C12*0.25</f>
        <v>50000</v>
      </c>
      <c r="E12" s="6" t="n">
        <f aca="false">C12+D12</f>
        <v>250000</v>
      </c>
      <c r="F12" s="4" t="s">
        <v>18</v>
      </c>
      <c r="G12" s="7" t="n">
        <v>6</v>
      </c>
      <c r="H12" s="6" t="n">
        <f aca="false">E12*7/12</f>
        <v>145833.333333333</v>
      </c>
      <c r="I12" s="6" t="n">
        <f aca="false">E12</f>
        <v>250000</v>
      </c>
      <c r="J12" s="6" t="n">
        <f aca="false">E12</f>
        <v>250000</v>
      </c>
    </row>
    <row r="13" customFormat="false" ht="15" hidden="false" customHeight="true" outlineLevel="0" collapsed="false">
      <c r="A13" s="4" t="n">
        <v>10</v>
      </c>
      <c r="B13" s="4" t="s">
        <v>24</v>
      </c>
      <c r="C13" s="5" t="n">
        <v>115000</v>
      </c>
      <c r="D13" s="6" t="n">
        <f aca="false">C13*0.25</f>
        <v>28750</v>
      </c>
      <c r="E13" s="6" t="n">
        <f aca="false">C13+D13</f>
        <v>143750</v>
      </c>
      <c r="F13" s="4" t="s">
        <v>18</v>
      </c>
      <c r="G13" s="7" t="n">
        <v>4</v>
      </c>
      <c r="H13" s="6" t="n">
        <f aca="false">E13*9/12</f>
        <v>107812.5</v>
      </c>
      <c r="I13" s="6" t="n">
        <f aca="false">E13</f>
        <v>143750</v>
      </c>
      <c r="J13" s="6" t="n">
        <f aca="false">E13</f>
        <v>143750</v>
      </c>
    </row>
    <row r="14" customFormat="false" ht="15" hidden="false" customHeight="true" outlineLevel="0" collapsed="false">
      <c r="A14" s="4" t="n">
        <v>11</v>
      </c>
      <c r="B14" s="4" t="s">
        <v>25</v>
      </c>
      <c r="C14" s="5" t="n">
        <v>115000</v>
      </c>
      <c r="D14" s="6" t="n">
        <f aca="false">C14*0.25</f>
        <v>28750</v>
      </c>
      <c r="E14" s="6" t="n">
        <f aca="false">C14+D14</f>
        <v>143750</v>
      </c>
      <c r="F14" s="4" t="s">
        <v>18</v>
      </c>
      <c r="G14" s="7" t="n">
        <v>6</v>
      </c>
      <c r="H14" s="6" t="n">
        <f aca="false">E14*7/12</f>
        <v>83854.1666666667</v>
      </c>
      <c r="I14" s="6" t="n">
        <f aca="false">E14</f>
        <v>143750</v>
      </c>
      <c r="J14" s="6" t="n">
        <f aca="false">E14</f>
        <v>143750</v>
      </c>
    </row>
    <row r="15" customFormat="false" ht="15" hidden="false" customHeight="true" outlineLevel="0" collapsed="false">
      <c r="A15" s="4" t="n">
        <v>12</v>
      </c>
      <c r="B15" s="4" t="s">
        <v>26</v>
      </c>
      <c r="C15" s="5" t="n">
        <v>115000</v>
      </c>
      <c r="D15" s="6" t="n">
        <f aca="false">C15*0.25</f>
        <v>28750</v>
      </c>
      <c r="E15" s="6" t="n">
        <f aca="false">C15+D15</f>
        <v>143750</v>
      </c>
      <c r="F15" s="4" t="s">
        <v>18</v>
      </c>
      <c r="G15" s="7" t="n">
        <v>9</v>
      </c>
      <c r="H15" s="6" t="n">
        <f aca="false">E15*4/12</f>
        <v>47916.6666666667</v>
      </c>
      <c r="I15" s="6" t="n">
        <f aca="false">E15</f>
        <v>143750</v>
      </c>
      <c r="J15" s="6" t="n">
        <f aca="false">E15</f>
        <v>143750</v>
      </c>
    </row>
    <row r="16" customFormat="false" ht="15" hidden="false" customHeight="true" outlineLevel="0" collapsed="false">
      <c r="A16" s="4" t="n">
        <v>13</v>
      </c>
      <c r="B16" s="4" t="s">
        <v>27</v>
      </c>
      <c r="C16" s="5" t="n">
        <v>140000</v>
      </c>
      <c r="D16" s="6" t="n">
        <f aca="false">C16*0.25</f>
        <v>35000</v>
      </c>
      <c r="E16" s="6" t="n">
        <f aca="false">C16+D16</f>
        <v>175000</v>
      </c>
      <c r="F16" s="4" t="s">
        <v>18</v>
      </c>
      <c r="G16" s="7" t="n">
        <v>3</v>
      </c>
      <c r="H16" s="6" t="n">
        <f aca="false">E16*10/12</f>
        <v>145833.333333333</v>
      </c>
      <c r="I16" s="6" t="n">
        <f aca="false">E16</f>
        <v>175000</v>
      </c>
      <c r="J16" s="6" t="n">
        <f aca="false">E16</f>
        <v>175000</v>
      </c>
    </row>
    <row r="17" customFormat="false" ht="15" hidden="false" customHeight="true" outlineLevel="0" collapsed="false">
      <c r="A17" s="4" t="n">
        <v>14</v>
      </c>
      <c r="B17" s="4" t="s">
        <v>28</v>
      </c>
      <c r="C17" s="5" t="n">
        <v>103000</v>
      </c>
      <c r="D17" s="6" t="n">
        <f aca="false">C17*0.25</f>
        <v>25750</v>
      </c>
      <c r="E17" s="6" t="n">
        <f aca="false">C17+D17</f>
        <v>128750</v>
      </c>
      <c r="F17" s="4" t="s">
        <v>18</v>
      </c>
      <c r="G17" s="7" t="n">
        <v>6</v>
      </c>
      <c r="H17" s="6" t="n">
        <f aca="false">E17*7/12</f>
        <v>75104.1666666667</v>
      </c>
      <c r="I17" s="6" t="n">
        <f aca="false">E17</f>
        <v>128750</v>
      </c>
      <c r="J17" s="6" t="n">
        <f aca="false">E17</f>
        <v>128750</v>
      </c>
    </row>
    <row r="18" customFormat="false" ht="15" hidden="false" customHeight="true" outlineLevel="0" collapsed="false">
      <c r="A18" s="4" t="n">
        <v>15</v>
      </c>
      <c r="B18" s="4" t="s">
        <v>29</v>
      </c>
      <c r="C18" s="5" t="n">
        <v>50000</v>
      </c>
      <c r="D18" s="6" t="n">
        <f aca="false">C18*0.25</f>
        <v>12500</v>
      </c>
      <c r="E18" s="6" t="n">
        <f aca="false">C18+D18</f>
        <v>62500</v>
      </c>
      <c r="F18" s="4" t="s">
        <v>18</v>
      </c>
      <c r="G18" s="7" t="n">
        <v>6</v>
      </c>
      <c r="H18" s="6" t="n">
        <f aca="false">E18*7/12</f>
        <v>36458.3333333333</v>
      </c>
      <c r="I18" s="6" t="n">
        <f aca="false">E18</f>
        <v>62500</v>
      </c>
      <c r="J18" s="6" t="n">
        <f aca="false">E18</f>
        <v>62500</v>
      </c>
    </row>
    <row r="19" customFormat="false" ht="15" hidden="false" customHeight="true" outlineLevel="0" collapsed="false">
      <c r="A19" s="4" t="n">
        <v>16</v>
      </c>
      <c r="B19" s="4" t="s">
        <v>30</v>
      </c>
      <c r="C19" s="5" t="n">
        <v>190000</v>
      </c>
      <c r="D19" s="6" t="n">
        <f aca="false">C19*0.25</f>
        <v>47500</v>
      </c>
      <c r="E19" s="6" t="n">
        <f aca="false">C19+D19</f>
        <v>237500</v>
      </c>
      <c r="F19" s="4" t="s">
        <v>14</v>
      </c>
      <c r="G19" s="7"/>
      <c r="H19" s="6" t="n">
        <v>0</v>
      </c>
      <c r="I19" s="6" t="n">
        <f aca="false">E19*6/12</f>
        <v>118750</v>
      </c>
      <c r="J19" s="6" t="n">
        <f aca="false">E19</f>
        <v>237500</v>
      </c>
    </row>
    <row r="20" customFormat="false" ht="15" hidden="false" customHeight="true" outlineLevel="0" collapsed="false">
      <c r="A20" s="4" t="n">
        <v>17</v>
      </c>
      <c r="B20" s="4" t="s">
        <v>31</v>
      </c>
      <c r="C20" s="5" t="n">
        <v>40000</v>
      </c>
      <c r="D20" s="6" t="n">
        <f aca="false">C20*0.25</f>
        <v>10000</v>
      </c>
      <c r="E20" s="6" t="n">
        <f aca="false">C20+D20</f>
        <v>50000</v>
      </c>
      <c r="F20" s="4" t="s">
        <v>18</v>
      </c>
      <c r="G20" s="7" t="n">
        <v>3</v>
      </c>
      <c r="H20" s="6" t="n">
        <f aca="false">E20*10/12</f>
        <v>41666.6666666667</v>
      </c>
      <c r="I20" s="6" t="n">
        <f aca="false">E20</f>
        <v>50000</v>
      </c>
      <c r="J20" s="6" t="n">
        <f aca="false">E20</f>
        <v>50000</v>
      </c>
    </row>
    <row r="21" customFormat="false" ht="15" hidden="false" customHeight="true" outlineLevel="0" collapsed="false">
      <c r="A21" s="3"/>
      <c r="B21" s="3" t="s">
        <v>32</v>
      </c>
      <c r="C21" s="3"/>
      <c r="D21" s="3"/>
      <c r="E21" s="3"/>
      <c r="F21" s="3"/>
      <c r="G21" s="3"/>
      <c r="H21" s="3"/>
      <c r="I21" s="3"/>
      <c r="J21" s="3"/>
    </row>
    <row r="22" customFormat="false" ht="15" hidden="false" customHeight="true" outlineLevel="0" collapsed="false">
      <c r="A22" s="4" t="n">
        <v>18</v>
      </c>
      <c r="B22" s="4" t="s">
        <v>33</v>
      </c>
      <c r="C22" s="5" t="n">
        <v>238000</v>
      </c>
      <c r="D22" s="6" t="n">
        <f aca="false">C22*0.25</f>
        <v>59500</v>
      </c>
      <c r="E22" s="6" t="n">
        <f aca="false">C22+D22</f>
        <v>297500</v>
      </c>
      <c r="F22" s="4" t="s">
        <v>18</v>
      </c>
      <c r="G22" s="7" t="n">
        <v>1</v>
      </c>
      <c r="H22" s="6" t="n">
        <f aca="false">E22*12/12</f>
        <v>297500</v>
      </c>
      <c r="I22" s="6" t="n">
        <f aca="false">E22</f>
        <v>297500</v>
      </c>
      <c r="J22" s="6" t="n">
        <f aca="false">E22</f>
        <v>297500</v>
      </c>
    </row>
    <row r="23" customFormat="false" ht="15" hidden="false" customHeight="true" outlineLevel="0" collapsed="false">
      <c r="A23" s="4" t="n">
        <v>19</v>
      </c>
      <c r="B23" s="4" t="s">
        <v>34</v>
      </c>
      <c r="C23" s="5" t="n">
        <v>183000</v>
      </c>
      <c r="D23" s="6" t="n">
        <f aca="false">C23*0.25</f>
        <v>45750</v>
      </c>
      <c r="E23" s="6" t="n">
        <f aca="false">C23+D23</f>
        <v>228750</v>
      </c>
      <c r="F23" s="4" t="s">
        <v>18</v>
      </c>
      <c r="G23" s="7" t="n">
        <v>3</v>
      </c>
      <c r="H23" s="6" t="n">
        <f aca="false">E23*10/12</f>
        <v>190625</v>
      </c>
      <c r="I23" s="6" t="n">
        <f aca="false">E23</f>
        <v>228750</v>
      </c>
      <c r="J23" s="6" t="n">
        <f aca="false">E23</f>
        <v>228750</v>
      </c>
    </row>
    <row r="24" customFormat="false" ht="15" hidden="false" customHeight="true" outlineLevel="0" collapsed="false">
      <c r="A24" s="4" t="n">
        <v>20</v>
      </c>
      <c r="B24" s="4" t="s">
        <v>35</v>
      </c>
      <c r="C24" s="5" t="n">
        <v>55000</v>
      </c>
      <c r="D24" s="6" t="n">
        <f aca="false">C24*0.25</f>
        <v>13750</v>
      </c>
      <c r="E24" s="6" t="n">
        <f aca="false">C24+D24</f>
        <v>68750</v>
      </c>
      <c r="F24" s="4" t="s">
        <v>18</v>
      </c>
      <c r="G24" s="7" t="n">
        <v>4</v>
      </c>
      <c r="H24" s="6" t="n">
        <f aca="false">E24*9/12</f>
        <v>51562.5</v>
      </c>
      <c r="I24" s="6" t="n">
        <f aca="false">E24</f>
        <v>68750</v>
      </c>
      <c r="J24" s="6" t="n">
        <f aca="false">E24</f>
        <v>68750</v>
      </c>
    </row>
    <row r="25" customFormat="false" ht="15" hidden="false" customHeight="true" outlineLevel="0" collapsed="false">
      <c r="A25" s="4" t="n">
        <v>21</v>
      </c>
      <c r="B25" s="4" t="s">
        <v>36</v>
      </c>
      <c r="C25" s="5" t="n">
        <v>190000</v>
      </c>
      <c r="D25" s="6" t="n">
        <f aca="false">C25*0.25</f>
        <v>47500</v>
      </c>
      <c r="E25" s="6" t="n">
        <f aca="false">C25+D25</f>
        <v>237500</v>
      </c>
      <c r="F25" s="4" t="s">
        <v>14</v>
      </c>
      <c r="G25" s="7"/>
      <c r="H25" s="6" t="n">
        <v>0</v>
      </c>
      <c r="I25" s="6" t="n">
        <f aca="false">E25*6/12</f>
        <v>118750</v>
      </c>
      <c r="J25" s="6" t="n">
        <f aca="false">E25</f>
        <v>237500</v>
      </c>
    </row>
    <row r="26" customFormat="false" ht="15" hidden="false" customHeight="true" outlineLevel="0" collapsed="false">
      <c r="A26" s="3"/>
      <c r="B26" s="3" t="s">
        <v>37</v>
      </c>
      <c r="C26" s="3"/>
      <c r="D26" s="3"/>
      <c r="E26" s="3"/>
      <c r="F26" s="3"/>
      <c r="G26" s="3"/>
      <c r="H26" s="3"/>
      <c r="I26" s="3"/>
      <c r="J26" s="3"/>
    </row>
    <row r="27" customFormat="false" ht="15" hidden="false" customHeight="true" outlineLevel="0" collapsed="false">
      <c r="A27" s="4" t="n">
        <v>22</v>
      </c>
      <c r="B27" s="4" t="s">
        <v>38</v>
      </c>
      <c r="C27" s="5" t="n">
        <v>175000</v>
      </c>
      <c r="D27" s="6" t="n">
        <f aca="false">C27*0.25</f>
        <v>43750</v>
      </c>
      <c r="E27" s="6" t="n">
        <f aca="false">C27+D27</f>
        <v>218750</v>
      </c>
      <c r="F27" s="4" t="s">
        <v>18</v>
      </c>
      <c r="G27" s="7" t="n">
        <v>2</v>
      </c>
      <c r="H27" s="6" t="n">
        <f aca="false">E27*11/12</f>
        <v>200520.833333333</v>
      </c>
      <c r="I27" s="6" t="n">
        <f aca="false">E27</f>
        <v>218750</v>
      </c>
      <c r="J27" s="6" t="n">
        <f aca="false">E27</f>
        <v>218750</v>
      </c>
    </row>
    <row r="28" customFormat="false" ht="15" hidden="false" customHeight="true" outlineLevel="0" collapsed="false">
      <c r="A28" s="4" t="n">
        <v>23</v>
      </c>
      <c r="B28" s="4" t="s">
        <v>39</v>
      </c>
      <c r="C28" s="5" t="n">
        <v>120000</v>
      </c>
      <c r="D28" s="6" t="n">
        <f aca="false">C28*0.25</f>
        <v>30000</v>
      </c>
      <c r="E28" s="6" t="n">
        <f aca="false">C28+D28</f>
        <v>150000</v>
      </c>
      <c r="F28" s="4" t="s">
        <v>18</v>
      </c>
      <c r="G28" s="7" t="n">
        <v>3</v>
      </c>
      <c r="H28" s="6" t="n">
        <f aca="false">E28*10/12</f>
        <v>125000</v>
      </c>
      <c r="I28" s="6" t="n">
        <f aca="false">E28</f>
        <v>150000</v>
      </c>
      <c r="J28" s="6" t="n">
        <f aca="false">E28</f>
        <v>150000</v>
      </c>
    </row>
    <row r="29" customFormat="false" ht="15" hidden="false" customHeight="true" outlineLevel="0" collapsed="false">
      <c r="A29" s="4" t="n">
        <v>24</v>
      </c>
      <c r="B29" s="4" t="s">
        <v>40</v>
      </c>
      <c r="C29" s="5" t="n">
        <v>175000</v>
      </c>
      <c r="D29" s="6" t="n">
        <f aca="false">C29*0.25</f>
        <v>43750</v>
      </c>
      <c r="E29" s="6" t="n">
        <f aca="false">C29+D29</f>
        <v>218750</v>
      </c>
      <c r="F29" s="4" t="s">
        <v>14</v>
      </c>
      <c r="G29" s="7"/>
      <c r="H29" s="6" t="n">
        <v>0</v>
      </c>
      <c r="I29" s="6" t="n">
        <f aca="false">E29*6/12</f>
        <v>109375</v>
      </c>
      <c r="J29" s="6" t="n">
        <f aca="false">E29</f>
        <v>218750</v>
      </c>
    </row>
    <row r="30" customFormat="false" ht="15" hidden="false" customHeight="true" outlineLevel="0" collapsed="false">
      <c r="A30" s="4" t="n">
        <v>25</v>
      </c>
      <c r="B30" s="4" t="s">
        <v>41</v>
      </c>
      <c r="C30" s="5" t="n">
        <v>160000</v>
      </c>
      <c r="D30" s="6" t="n">
        <f aca="false">C30*0.25</f>
        <v>40000</v>
      </c>
      <c r="E30" s="6" t="n">
        <f aca="false">C30+D30</f>
        <v>200000</v>
      </c>
      <c r="F30" s="4" t="s">
        <v>14</v>
      </c>
      <c r="G30" s="7"/>
      <c r="H30" s="6" t="n">
        <v>0</v>
      </c>
      <c r="I30" s="6" t="n">
        <f aca="false">E30*6/12</f>
        <v>100000</v>
      </c>
      <c r="J30" s="6" t="n">
        <f aca="false">E30</f>
        <v>200000</v>
      </c>
    </row>
    <row r="31" customFormat="false" ht="15" hidden="false" customHeight="true" outlineLevel="0" collapsed="false">
      <c r="A31" s="8" t="n">
        <v>25</v>
      </c>
      <c r="B31" s="8" t="s">
        <v>42</v>
      </c>
      <c r="C31" s="9" t="n">
        <v>85000</v>
      </c>
      <c r="D31" s="10" t="n">
        <f aca="false">C31*0.25</f>
        <v>21250</v>
      </c>
      <c r="E31" s="10" t="n">
        <f aca="false">C31+D31</f>
        <v>106250</v>
      </c>
      <c r="F31" s="8" t="s">
        <v>18</v>
      </c>
      <c r="G31" s="11" t="n">
        <v>3</v>
      </c>
      <c r="H31" s="10" t="n">
        <f aca="false">E31*10/12</f>
        <v>88541.6666666667</v>
      </c>
      <c r="I31" s="10" t="n">
        <f aca="false">E31</f>
        <v>106250</v>
      </c>
      <c r="J31" s="10" t="n">
        <f aca="false">E31</f>
        <v>106250</v>
      </c>
    </row>
    <row r="32" customFormat="false" ht="15" hidden="false" customHeight="true" outlineLevel="0" collapsed="false">
      <c r="A32" s="8" t="n">
        <v>26</v>
      </c>
      <c r="B32" s="8" t="s">
        <v>43</v>
      </c>
      <c r="C32" s="9" t="n">
        <v>85000</v>
      </c>
      <c r="D32" s="10" t="n">
        <f aca="false">C32*0.25</f>
        <v>21250</v>
      </c>
      <c r="E32" s="10" t="n">
        <f aca="false">C32+D32</f>
        <v>106250</v>
      </c>
      <c r="F32" s="8" t="s">
        <v>18</v>
      </c>
      <c r="G32" s="11" t="n">
        <v>4</v>
      </c>
      <c r="H32" s="10" t="n">
        <f aca="false">E32*9/12</f>
        <v>79687.5</v>
      </c>
      <c r="I32" s="10" t="n">
        <f aca="false">E32</f>
        <v>106250</v>
      </c>
      <c r="J32" s="10" t="n">
        <f aca="false">E32</f>
        <v>106250</v>
      </c>
    </row>
    <row r="33" customFormat="false" ht="15" hidden="false" customHeight="true" outlineLevel="0" collapsed="false">
      <c r="A33" s="8" t="n">
        <v>27</v>
      </c>
      <c r="B33" s="8" t="s">
        <v>44</v>
      </c>
      <c r="C33" s="9" t="n">
        <v>85000</v>
      </c>
      <c r="D33" s="10" t="n">
        <f aca="false">C33*0.25</f>
        <v>21250</v>
      </c>
      <c r="E33" s="10" t="n">
        <f aca="false">C33+D33</f>
        <v>106250</v>
      </c>
      <c r="F33" s="8" t="s">
        <v>18</v>
      </c>
      <c r="G33" s="11" t="n">
        <v>3</v>
      </c>
      <c r="H33" s="10" t="n">
        <f aca="false">E33*10/12</f>
        <v>88541.6666666667</v>
      </c>
      <c r="I33" s="10" t="n">
        <f aca="false">E33</f>
        <v>106250</v>
      </c>
      <c r="J33" s="10" t="n">
        <f aca="false">E33</f>
        <v>106250</v>
      </c>
    </row>
    <row r="34" customFormat="false" ht="15" hidden="false" customHeight="true" outlineLevel="0" collapsed="false">
      <c r="A34" s="3"/>
      <c r="B34" s="3" t="s">
        <v>45</v>
      </c>
      <c r="C34" s="3"/>
      <c r="D34" s="3"/>
      <c r="E34" s="3"/>
      <c r="F34" s="3"/>
      <c r="G34" s="3"/>
      <c r="H34" s="3"/>
      <c r="I34" s="3"/>
      <c r="J34" s="3"/>
    </row>
    <row r="35" customFormat="false" ht="15" hidden="false" customHeight="true" outlineLevel="0" collapsed="false">
      <c r="A35" s="4" t="n">
        <v>26</v>
      </c>
      <c r="B35" s="4" t="s">
        <v>46</v>
      </c>
      <c r="C35" s="5" t="n">
        <v>130000</v>
      </c>
      <c r="D35" s="6" t="n">
        <f aca="false">C32*0.25</f>
        <v>21250</v>
      </c>
      <c r="E35" s="6" t="n">
        <f aca="false">C32+D32</f>
        <v>106250</v>
      </c>
      <c r="F35" s="4" t="s">
        <v>18</v>
      </c>
      <c r="G35" s="7" t="n">
        <v>3</v>
      </c>
      <c r="H35" s="6" t="n">
        <f aca="false">E32*10/12</f>
        <v>88541.6666666667</v>
      </c>
      <c r="I35" s="6" t="n">
        <f aca="false">E32</f>
        <v>106250</v>
      </c>
      <c r="J35" s="6" t="n">
        <f aca="false">E32</f>
        <v>106250</v>
      </c>
    </row>
    <row r="36" customFormat="false" ht="15" hidden="false" customHeight="true" outlineLevel="0" collapsed="false">
      <c r="A36" s="4" t="n">
        <v>27</v>
      </c>
      <c r="B36" s="4" t="s">
        <v>47</v>
      </c>
      <c r="C36" s="5" t="n">
        <v>78000</v>
      </c>
      <c r="D36" s="6" t="n">
        <f aca="false">C33*0.25</f>
        <v>21250</v>
      </c>
      <c r="E36" s="6" t="n">
        <f aca="false">C33+D33</f>
        <v>106250</v>
      </c>
      <c r="F36" s="4" t="s">
        <v>18</v>
      </c>
      <c r="G36" s="7" t="n">
        <v>4</v>
      </c>
      <c r="H36" s="6" t="n">
        <f aca="false">E33*9/12</f>
        <v>79687.5</v>
      </c>
      <c r="I36" s="6" t="n">
        <f aca="false">E33</f>
        <v>106250</v>
      </c>
      <c r="J36" s="6" t="n">
        <f aca="false">E33</f>
        <v>106250</v>
      </c>
    </row>
    <row r="37" customFormat="false" ht="15" hidden="false" customHeight="true" outlineLevel="0" collapsed="false">
      <c r="A37" s="3"/>
      <c r="B37" s="3" t="s">
        <v>48</v>
      </c>
      <c r="C37" s="3"/>
      <c r="D37" s="3"/>
      <c r="E37" s="3"/>
      <c r="F37" s="3"/>
      <c r="G37" s="3"/>
      <c r="H37" s="3"/>
      <c r="I37" s="3"/>
      <c r="J37" s="3"/>
    </row>
    <row r="38" customFormat="false" ht="15" hidden="false" customHeight="true" outlineLevel="0" collapsed="false">
      <c r="A38" s="4" t="n">
        <v>28</v>
      </c>
      <c r="B38" s="4" t="s">
        <v>49</v>
      </c>
      <c r="C38" s="5" t="n">
        <v>153000</v>
      </c>
      <c r="D38" s="6" t="n">
        <f aca="false">C35*0.25</f>
        <v>32500</v>
      </c>
      <c r="E38" s="6" t="n">
        <f aca="false">C35+D35</f>
        <v>151250</v>
      </c>
      <c r="F38" s="4" t="s">
        <v>18</v>
      </c>
      <c r="G38" s="7" t="n">
        <v>3</v>
      </c>
      <c r="H38" s="6" t="n">
        <f aca="false">E35*10/12</f>
        <v>88541.6666666667</v>
      </c>
      <c r="I38" s="6" t="n">
        <f aca="false">E35</f>
        <v>106250</v>
      </c>
      <c r="J38" s="6" t="n">
        <f aca="false">E35</f>
        <v>106250</v>
      </c>
    </row>
    <row r="39" customFormat="false" ht="15" hidden="false" customHeight="true" outlineLevel="0" collapsed="false">
      <c r="A39" s="4" t="n">
        <v>29</v>
      </c>
      <c r="B39" s="4" t="s">
        <v>50</v>
      </c>
      <c r="C39" s="5" t="n">
        <v>130000</v>
      </c>
      <c r="D39" s="6" t="n">
        <f aca="false">C36*0.25</f>
        <v>19500</v>
      </c>
      <c r="E39" s="6" t="n">
        <f aca="false">C36+D36</f>
        <v>99250</v>
      </c>
      <c r="F39" s="4" t="s">
        <v>18</v>
      </c>
      <c r="G39" s="7" t="n">
        <v>2</v>
      </c>
      <c r="H39" s="6" t="n">
        <f aca="false">E36*11/12</f>
        <v>97395.8333333333</v>
      </c>
      <c r="I39" s="6" t="n">
        <f aca="false">E36</f>
        <v>106250</v>
      </c>
      <c r="J39" s="6" t="n">
        <f aca="false">E36</f>
        <v>106250</v>
      </c>
    </row>
    <row r="40" customFormat="false" ht="15" hidden="false" customHeight="true" outlineLevel="0" collapsed="false">
      <c r="A40" s="4" t="n">
        <v>30</v>
      </c>
      <c r="B40" s="4" t="s">
        <v>51</v>
      </c>
      <c r="C40" s="5" t="n">
        <v>115000</v>
      </c>
      <c r="D40" s="6" t="n">
        <f aca="false">C37*0.25</f>
        <v>0</v>
      </c>
      <c r="E40" s="6" t="n">
        <f aca="false">C37+D37</f>
        <v>0</v>
      </c>
      <c r="F40" s="4" t="s">
        <v>18</v>
      </c>
      <c r="G40" s="7" t="n">
        <v>4</v>
      </c>
      <c r="H40" s="6" t="n">
        <f aca="false">E37*9/12</f>
        <v>0</v>
      </c>
      <c r="I40" s="6" t="n">
        <f aca="false">E37</f>
        <v>0</v>
      </c>
      <c r="J40" s="6" t="n">
        <f aca="false">E37</f>
        <v>0</v>
      </c>
    </row>
    <row r="41" customFormat="false" ht="15" hidden="false" customHeight="true" outlineLevel="0" collapsed="false">
      <c r="A41" s="4" t="n">
        <v>31</v>
      </c>
      <c r="B41" s="4" t="s">
        <v>52</v>
      </c>
      <c r="C41" s="5" t="n">
        <v>135000</v>
      </c>
      <c r="D41" s="6" t="n">
        <f aca="false">C38*0.25</f>
        <v>38250</v>
      </c>
      <c r="E41" s="6" t="n">
        <f aca="false">C38+D38</f>
        <v>185500</v>
      </c>
      <c r="F41" s="4" t="s">
        <v>18</v>
      </c>
      <c r="G41" s="7" t="n">
        <v>3</v>
      </c>
      <c r="H41" s="6" t="n">
        <f aca="false">E38*10/12</f>
        <v>126041.666666667</v>
      </c>
      <c r="I41" s="6" t="n">
        <f aca="false">E38</f>
        <v>151250</v>
      </c>
      <c r="J41" s="6" t="n">
        <f aca="false">E38</f>
        <v>151250</v>
      </c>
    </row>
    <row r="42" customFormat="false" ht="15" hidden="false" customHeight="true" outlineLevel="0" collapsed="false">
      <c r="A42" s="4" t="n">
        <v>32</v>
      </c>
      <c r="B42" s="4" t="s">
        <v>53</v>
      </c>
      <c r="C42" s="5" t="n">
        <v>110000</v>
      </c>
      <c r="D42" s="6" t="n">
        <f aca="false">C39*0.25</f>
        <v>32500</v>
      </c>
      <c r="E42" s="6" t="n">
        <f aca="false">C39+D39</f>
        <v>149500</v>
      </c>
      <c r="F42" s="4" t="s">
        <v>14</v>
      </c>
      <c r="G42" s="7"/>
      <c r="H42" s="6" t="n">
        <v>0</v>
      </c>
      <c r="I42" s="6" t="n">
        <f aca="false">E39*6/12</f>
        <v>49625</v>
      </c>
      <c r="J42" s="6" t="n">
        <f aca="false">E39</f>
        <v>99250</v>
      </c>
    </row>
    <row r="43" customFormat="false" ht="15" hidden="false" customHeight="true" outlineLevel="0" collapsed="false">
      <c r="A43" s="3"/>
      <c r="B43" s="3" t="s">
        <v>54</v>
      </c>
      <c r="C43" s="3"/>
      <c r="D43" s="3"/>
      <c r="E43" s="3"/>
      <c r="F43" s="3"/>
      <c r="G43" s="3"/>
      <c r="H43" s="3"/>
      <c r="I43" s="3"/>
      <c r="J43" s="3"/>
    </row>
    <row r="44" customFormat="false" ht="15" hidden="false" customHeight="true" outlineLevel="0" collapsed="false">
      <c r="A44" s="4" t="n">
        <v>33</v>
      </c>
      <c r="B44" s="4" t="s">
        <v>55</v>
      </c>
      <c r="C44" s="5" t="n">
        <v>163000</v>
      </c>
      <c r="D44" s="6" t="n">
        <f aca="false">C41*0.25</f>
        <v>33750</v>
      </c>
      <c r="E44" s="6" t="n">
        <f aca="false">C41+D41</f>
        <v>173250</v>
      </c>
      <c r="F44" s="4" t="s">
        <v>18</v>
      </c>
      <c r="G44" s="7" t="n">
        <v>2</v>
      </c>
      <c r="H44" s="6" t="n">
        <f aca="false">E41*11/12</f>
        <v>170041.666666667</v>
      </c>
      <c r="I44" s="6" t="n">
        <f aca="false">E41</f>
        <v>185500</v>
      </c>
      <c r="J44" s="6" t="n">
        <f aca="false">E41</f>
        <v>185500</v>
      </c>
    </row>
    <row r="45" customFormat="false" ht="15" hidden="false" customHeight="true" outlineLevel="0" collapsed="false">
      <c r="A45" s="4" t="n">
        <v>34</v>
      </c>
      <c r="B45" s="4" t="s">
        <v>56</v>
      </c>
      <c r="C45" s="5" t="n">
        <v>93000</v>
      </c>
      <c r="D45" s="6" t="n">
        <f aca="false">C42*0.25</f>
        <v>27500</v>
      </c>
      <c r="E45" s="6" t="n">
        <f aca="false">C42+D42</f>
        <v>142500</v>
      </c>
      <c r="F45" s="4" t="s">
        <v>18</v>
      </c>
      <c r="G45" s="7" t="n">
        <v>3</v>
      </c>
      <c r="H45" s="6" t="n">
        <f aca="false">E42*10/12</f>
        <v>124583.333333333</v>
      </c>
      <c r="I45" s="6" t="n">
        <f aca="false">E42</f>
        <v>149500</v>
      </c>
      <c r="J45" s="6" t="n">
        <f aca="false">E42</f>
        <v>149500</v>
      </c>
    </row>
    <row r="46" customFormat="false" ht="15" hidden="false" customHeight="true" outlineLevel="0" collapsed="false">
      <c r="A46" s="3"/>
      <c r="B46" s="3" t="s">
        <v>57</v>
      </c>
      <c r="C46" s="3"/>
      <c r="D46" s="3"/>
      <c r="E46" s="3"/>
      <c r="F46" s="3"/>
      <c r="G46" s="3"/>
      <c r="H46" s="3"/>
      <c r="I46" s="3"/>
      <c r="J46" s="3"/>
    </row>
    <row r="47" customFormat="false" ht="15" hidden="false" customHeight="true" outlineLevel="0" collapsed="false">
      <c r="A47" s="4" t="n">
        <v>35</v>
      </c>
      <c r="B47" s="4" t="s">
        <v>58</v>
      </c>
      <c r="C47" s="5" t="n">
        <v>130000</v>
      </c>
      <c r="D47" s="6" t="n">
        <f aca="false">C44*0.25</f>
        <v>40750</v>
      </c>
      <c r="E47" s="6" t="n">
        <f aca="false">C44+D44</f>
        <v>196750</v>
      </c>
      <c r="F47" s="4" t="s">
        <v>18</v>
      </c>
      <c r="G47" s="7" t="n">
        <v>4</v>
      </c>
      <c r="H47" s="6" t="n">
        <f aca="false">E44*9/12</f>
        <v>129937.5</v>
      </c>
      <c r="I47" s="6" t="n">
        <f aca="false">E44</f>
        <v>173250</v>
      </c>
      <c r="J47" s="6" t="n">
        <f aca="false">E44</f>
        <v>173250</v>
      </c>
    </row>
    <row r="48" customFormat="false" ht="15" hidden="false" customHeight="true" outlineLevel="0" collapsed="false">
      <c r="A48" s="3"/>
      <c r="B48" s="3" t="s">
        <v>59</v>
      </c>
      <c r="C48" s="3"/>
      <c r="D48" s="3"/>
      <c r="E48" s="3"/>
      <c r="F48" s="3"/>
      <c r="G48" s="3"/>
      <c r="H48" s="3"/>
      <c r="I48" s="3"/>
      <c r="J48" s="3"/>
    </row>
    <row r="49" customFormat="false" ht="15" hidden="false" customHeight="true" outlineLevel="0" collapsed="false">
      <c r="A49" s="4" t="n">
        <v>36</v>
      </c>
      <c r="B49" s="4" t="s">
        <v>60</v>
      </c>
      <c r="C49" s="5" t="n">
        <v>130000</v>
      </c>
      <c r="D49" s="6" t="n">
        <f aca="false">C46*0.25</f>
        <v>0</v>
      </c>
      <c r="E49" s="6" t="n">
        <f aca="false">C46+D46</f>
        <v>0</v>
      </c>
      <c r="F49" s="4" t="s">
        <v>18</v>
      </c>
      <c r="G49" s="7" t="n">
        <v>2</v>
      </c>
      <c r="H49" s="6" t="n">
        <f aca="false">E46*11/12</f>
        <v>0</v>
      </c>
      <c r="I49" s="6" t="n">
        <f aca="false">E46</f>
        <v>0</v>
      </c>
      <c r="J49" s="6" t="n">
        <f aca="false">E46</f>
        <v>0</v>
      </c>
    </row>
    <row r="50" customFormat="false" ht="15" hidden="false" customHeight="true" outlineLevel="0" collapsed="false">
      <c r="A50" s="4" t="n">
        <v>37</v>
      </c>
      <c r="B50" s="4" t="s">
        <v>61</v>
      </c>
      <c r="C50" s="5" t="n">
        <v>148000</v>
      </c>
      <c r="D50" s="6" t="n">
        <f aca="false">C47*0.25</f>
        <v>32500</v>
      </c>
      <c r="E50" s="6" t="n">
        <f aca="false">C47+D47</f>
        <v>170750</v>
      </c>
      <c r="F50" s="4" t="s">
        <v>18</v>
      </c>
      <c r="G50" s="7" t="n">
        <v>2</v>
      </c>
      <c r="H50" s="6" t="n">
        <f aca="false">E47*11/12</f>
        <v>180354.166666667</v>
      </c>
      <c r="I50" s="6" t="n">
        <f aca="false">E47</f>
        <v>196750</v>
      </c>
      <c r="J50" s="6" t="n">
        <f aca="false">E47</f>
        <v>196750</v>
      </c>
    </row>
    <row r="51" customFormat="false" ht="15" hidden="false" customHeight="true" outlineLevel="0" collapsed="false">
      <c r="A51" s="4" t="n">
        <v>38</v>
      </c>
      <c r="B51" s="4" t="s">
        <v>62</v>
      </c>
      <c r="C51" s="5" t="n">
        <v>32000</v>
      </c>
      <c r="D51" s="6" t="n">
        <f aca="false">C48*0.25</f>
        <v>0</v>
      </c>
      <c r="E51" s="6" t="n">
        <f aca="false">C48+D48</f>
        <v>0</v>
      </c>
      <c r="F51" s="4" t="s">
        <v>18</v>
      </c>
      <c r="G51" s="7" t="n">
        <v>3</v>
      </c>
      <c r="H51" s="6" t="n">
        <f aca="false">E48*10/12</f>
        <v>0</v>
      </c>
      <c r="I51" s="6" t="n">
        <f aca="false">E48</f>
        <v>0</v>
      </c>
      <c r="J51" s="6" t="n">
        <f aca="false">E48</f>
        <v>0</v>
      </c>
    </row>
    <row r="52" customFormat="false" ht="15" hidden="false" customHeight="true" outlineLevel="0" collapsed="false">
      <c r="A52" s="4" t="n">
        <v>39</v>
      </c>
      <c r="B52" s="4" t="s">
        <v>63</v>
      </c>
      <c r="C52" s="5" t="n">
        <v>65000</v>
      </c>
      <c r="D52" s="6" t="n">
        <f aca="false">C49*0.25</f>
        <v>32500</v>
      </c>
      <c r="E52" s="6" t="n">
        <f aca="false">C49+D49</f>
        <v>130000</v>
      </c>
      <c r="F52" s="4" t="s">
        <v>18</v>
      </c>
      <c r="G52" s="7" t="n">
        <v>3</v>
      </c>
      <c r="H52" s="6" t="n">
        <f aca="false">E49*10/12</f>
        <v>0</v>
      </c>
      <c r="I52" s="6" t="n">
        <f aca="false">E49</f>
        <v>0</v>
      </c>
      <c r="J52" s="6" t="n">
        <f aca="false">E49</f>
        <v>0</v>
      </c>
    </row>
    <row r="53" customFormat="false" ht="15" hidden="false" customHeight="true" outlineLevel="0" collapsed="false">
      <c r="A53" s="4" t="n">
        <v>40</v>
      </c>
      <c r="B53" s="4" t="s">
        <v>64</v>
      </c>
      <c r="C53" s="5" t="n">
        <v>130000</v>
      </c>
      <c r="D53" s="6" t="n">
        <f aca="false">C50*0.25</f>
        <v>37000</v>
      </c>
      <c r="E53" s="6" t="n">
        <f aca="false">C50+D50</f>
        <v>180500</v>
      </c>
      <c r="F53" s="4" t="s">
        <v>18</v>
      </c>
      <c r="G53" s="7" t="n">
        <v>4</v>
      </c>
      <c r="H53" s="6" t="n">
        <f aca="false">E50*9/12</f>
        <v>128062.5</v>
      </c>
      <c r="I53" s="6" t="n">
        <f aca="false">E50</f>
        <v>170750</v>
      </c>
      <c r="J53" s="6" t="n">
        <f aca="false">E50</f>
        <v>170750</v>
      </c>
    </row>
    <row r="54" customFormat="false" ht="15" hidden="false" customHeight="true" outlineLevel="0" collapsed="false">
      <c r="A54" s="4" t="n">
        <v>41</v>
      </c>
      <c r="B54" s="4" t="s">
        <v>65</v>
      </c>
      <c r="C54" s="5" t="n">
        <v>115000</v>
      </c>
      <c r="D54" s="6" t="n">
        <f aca="false">C51*0.25</f>
        <v>8000</v>
      </c>
      <c r="E54" s="6" t="n">
        <f aca="false">C51+D51</f>
        <v>32000</v>
      </c>
      <c r="F54" s="4" t="s">
        <v>18</v>
      </c>
      <c r="G54" s="7" t="n">
        <v>1</v>
      </c>
      <c r="H54" s="6" t="n">
        <f aca="false">E51*12/12</f>
        <v>0</v>
      </c>
      <c r="I54" s="6" t="n">
        <f aca="false">E51</f>
        <v>0</v>
      </c>
      <c r="J54" s="6" t="n">
        <f aca="false">E51</f>
        <v>0</v>
      </c>
    </row>
    <row r="55" customFormat="false" ht="15" hidden="false" customHeight="true" outlineLevel="0" collapsed="false">
      <c r="A55" s="4" t="n">
        <v>42</v>
      </c>
      <c r="B55" s="4" t="s">
        <v>66</v>
      </c>
      <c r="C55" s="5" t="n">
        <v>93000</v>
      </c>
      <c r="D55" s="6" t="n">
        <f aca="false">C52*0.25</f>
        <v>16250</v>
      </c>
      <c r="E55" s="6" t="n">
        <f aca="false">C52+D52</f>
        <v>97500</v>
      </c>
      <c r="F55" s="4" t="s">
        <v>18</v>
      </c>
      <c r="G55" s="7" t="n">
        <v>1</v>
      </c>
      <c r="H55" s="6" t="n">
        <f aca="false">E52*12/12</f>
        <v>130000</v>
      </c>
      <c r="I55" s="6" t="n">
        <f aca="false">E52</f>
        <v>130000</v>
      </c>
      <c r="J55" s="6" t="n">
        <f aca="false">E52</f>
        <v>130000</v>
      </c>
    </row>
    <row r="56" customFormat="false" ht="15" hidden="false" customHeight="false" outlineLevel="0" collapsed="false">
      <c r="A56" s="4" t="n">
        <v>43</v>
      </c>
      <c r="B56" s="4" t="s">
        <v>67</v>
      </c>
      <c r="C56" s="5" t="n">
        <v>54000</v>
      </c>
      <c r="D56" s="6" t="n">
        <f aca="false">C53*0.25</f>
        <v>32500</v>
      </c>
      <c r="E56" s="6" t="n">
        <f aca="false">C53+D53</f>
        <v>167000</v>
      </c>
      <c r="F56" s="4" t="s">
        <v>18</v>
      </c>
      <c r="G56" s="7" t="n">
        <v>1</v>
      </c>
      <c r="H56" s="6" t="n">
        <f aca="false">E53*12/12</f>
        <v>180500</v>
      </c>
      <c r="I56" s="6" t="n">
        <f aca="false">E53</f>
        <v>180500</v>
      </c>
      <c r="J56" s="6" t="n">
        <f aca="false">E53</f>
        <v>180500</v>
      </c>
    </row>
    <row r="57" customFormat="false" ht="15" hidden="false" customHeight="true" outlineLevel="0" collapsed="false">
      <c r="A57" s="3"/>
      <c r="B57" s="3" t="s">
        <v>68</v>
      </c>
      <c r="C57" s="3"/>
      <c r="D57" s="3"/>
      <c r="E57" s="3"/>
      <c r="F57" s="3"/>
      <c r="G57" s="3"/>
      <c r="H57" s="3"/>
      <c r="I57" s="3"/>
      <c r="J57" s="3"/>
    </row>
    <row r="58" customFormat="false" ht="15" hidden="false" customHeight="false" outlineLevel="0" collapsed="false">
      <c r="A58" s="4" t="n">
        <v>44</v>
      </c>
      <c r="B58" s="4" t="s">
        <v>69</v>
      </c>
      <c r="C58" s="5" t="n">
        <v>118000</v>
      </c>
      <c r="D58" s="6" t="n">
        <f aca="false">C55*0.25</f>
        <v>23250</v>
      </c>
      <c r="E58" s="6" t="n">
        <f aca="false">C55+D55</f>
        <v>109250</v>
      </c>
      <c r="F58" s="4" t="s">
        <v>18</v>
      </c>
      <c r="G58" s="7" t="n">
        <v>1</v>
      </c>
      <c r="H58" s="6" t="n">
        <f aca="false">E55*12/12</f>
        <v>97500</v>
      </c>
      <c r="I58" s="6" t="n">
        <f aca="false">E55</f>
        <v>97500</v>
      </c>
      <c r="J58" s="6" t="n">
        <f aca="false">E55</f>
        <v>97500</v>
      </c>
    </row>
    <row r="60" customFormat="false" ht="15" hidden="false" customHeight="false" outlineLevel="0" collapsed="false">
      <c r="B60" s="12" t="s">
        <v>70</v>
      </c>
      <c r="E60" s="13" t="n">
        <f aca="false">SUM(E2:E58)</f>
        <v>7702500</v>
      </c>
      <c r="H60" s="13" t="n">
        <f aca="false">SUM(H2:H58)</f>
        <v>4856812.5</v>
      </c>
      <c r="I60" s="13" t="n">
        <f aca="false">SUM(I2:I58)</f>
        <v>6670875</v>
      </c>
      <c r="J60" s="13" t="n">
        <f aca="false">SUM(J2:J58)</f>
        <v>7464250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4" min="2" style="1" width="1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71</v>
      </c>
      <c r="B1" s="2" t="s">
        <v>72</v>
      </c>
      <c r="C1" s="2" t="s">
        <v>73</v>
      </c>
      <c r="D1" s="2" t="s">
        <v>74</v>
      </c>
      <c r="E1" s="2" t="s">
        <v>75</v>
      </c>
    </row>
    <row r="2" customFormat="false" ht="15" hidden="false" customHeight="true" outlineLevel="0" collapsed="false">
      <c r="A2" s="4" t="s">
        <v>76</v>
      </c>
      <c r="B2" s="5" t="n">
        <v>250000</v>
      </c>
      <c r="C2" s="5" t="n">
        <v>450000</v>
      </c>
      <c r="D2" s="5" t="n">
        <v>600000</v>
      </c>
      <c r="E2" s="4" t="s">
        <v>77</v>
      </c>
    </row>
    <row r="3" customFormat="false" ht="15" hidden="false" customHeight="true" outlineLevel="0" collapsed="false">
      <c r="A3" s="4" t="s">
        <v>78</v>
      </c>
      <c r="B3" s="5" t="n">
        <v>200000</v>
      </c>
      <c r="C3" s="5" t="n">
        <v>300000</v>
      </c>
      <c r="D3" s="5" t="n">
        <v>400000</v>
      </c>
      <c r="E3" s="4" t="s">
        <v>79</v>
      </c>
    </row>
    <row r="4" customFormat="false" ht="15" hidden="false" customHeight="true" outlineLevel="0" collapsed="false">
      <c r="A4" s="4" t="s">
        <v>80</v>
      </c>
      <c r="B4" s="5" t="n">
        <v>400000</v>
      </c>
      <c r="C4" s="5" t="n">
        <v>800000</v>
      </c>
      <c r="D4" s="5" t="n">
        <v>1200000</v>
      </c>
      <c r="E4" s="4" t="s">
        <v>81</v>
      </c>
    </row>
    <row r="5" customFormat="false" ht="15" hidden="false" customHeight="true" outlineLevel="0" collapsed="false">
      <c r="A5" s="4" t="s">
        <v>82</v>
      </c>
      <c r="B5" s="5" t="n">
        <v>200000</v>
      </c>
      <c r="C5" s="5" t="n">
        <v>300000</v>
      </c>
      <c r="D5" s="5" t="n">
        <v>400000</v>
      </c>
      <c r="E5" s="4" t="s">
        <v>83</v>
      </c>
    </row>
    <row r="6" customFormat="false" ht="15" hidden="false" customHeight="true" outlineLevel="0" collapsed="false">
      <c r="A6" s="4" t="s">
        <v>84</v>
      </c>
      <c r="B6" s="5" t="n">
        <v>200000</v>
      </c>
      <c r="C6" s="5" t="n">
        <v>300000</v>
      </c>
      <c r="D6" s="5" t="n">
        <v>400000</v>
      </c>
      <c r="E6" s="4" t="s">
        <v>85</v>
      </c>
    </row>
    <row r="7" customFormat="false" ht="15" hidden="false" customHeight="true" outlineLevel="0" collapsed="false">
      <c r="A7" s="4" t="s">
        <v>86</v>
      </c>
      <c r="B7" s="5" t="n">
        <v>100000</v>
      </c>
      <c r="C7" s="5" t="n">
        <v>200000</v>
      </c>
      <c r="D7" s="5" t="n">
        <v>300000</v>
      </c>
      <c r="E7" s="4" t="s">
        <v>87</v>
      </c>
    </row>
    <row r="8" customFormat="false" ht="15" hidden="false" customHeight="true" outlineLevel="0" collapsed="false">
      <c r="A8" s="4" t="s">
        <v>88</v>
      </c>
      <c r="B8" s="5" t="n">
        <v>150000</v>
      </c>
      <c r="C8" s="5" t="n">
        <v>100000</v>
      </c>
      <c r="D8" s="5" t="n">
        <v>100000</v>
      </c>
      <c r="E8" s="4" t="s">
        <v>89</v>
      </c>
    </row>
    <row r="9" customFormat="false" ht="15" hidden="false" customHeight="true" outlineLevel="0" collapsed="false">
      <c r="A9" s="4" t="s">
        <v>90</v>
      </c>
      <c r="B9" s="5" t="n">
        <v>100000</v>
      </c>
      <c r="C9" s="5" t="n">
        <v>150000</v>
      </c>
      <c r="D9" s="5" t="n">
        <v>200000</v>
      </c>
      <c r="E9" s="4" t="s">
        <v>91</v>
      </c>
    </row>
    <row r="10" customFormat="false" ht="15" hidden="false" customHeight="true" outlineLevel="0" collapsed="false">
      <c r="A10" s="4" t="s">
        <v>92</v>
      </c>
      <c r="B10" s="5" t="n">
        <v>160000</v>
      </c>
      <c r="C10" s="5" t="n">
        <v>260000</v>
      </c>
      <c r="D10" s="5" t="n">
        <v>360000</v>
      </c>
      <c r="E10" s="4" t="s">
        <v>93</v>
      </c>
    </row>
    <row r="11" customFormat="false" ht="15" hidden="false" customHeight="true" outlineLevel="0" collapsed="false">
      <c r="A11" s="12" t="s">
        <v>94</v>
      </c>
      <c r="B11" s="14" t="n">
        <f aca="false">SUM(B2:B10)</f>
        <v>1760000</v>
      </c>
      <c r="C11" s="14" t="n">
        <f aca="false">SUM(C2:C10)</f>
        <v>2860000</v>
      </c>
      <c r="D11" s="14" t="n">
        <f aca="false">SUM(D2:D10)</f>
        <v>3960000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9900"/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2"/>
    <col collapsed="false" customWidth="true" hidden="false" outlineLevel="0" max="3" min="3" style="1" width="10"/>
    <col collapsed="false" customWidth="true" hidden="false" outlineLevel="0" max="6" min="4" style="1" width="16"/>
    <col collapsed="false" customWidth="true" hidden="false" outlineLevel="0" max="7" min="7" style="1" width="60"/>
  </cols>
  <sheetData>
    <row r="1" customFormat="false" ht="15" hidden="false" customHeight="true" outlineLevel="0" collapsed="false">
      <c r="A1" s="2" t="s">
        <v>0</v>
      </c>
      <c r="B1" s="2" t="s">
        <v>95</v>
      </c>
      <c r="C1" s="2" t="s">
        <v>96</v>
      </c>
      <c r="D1" s="2" t="s">
        <v>72</v>
      </c>
      <c r="E1" s="2" t="s">
        <v>73</v>
      </c>
      <c r="F1" s="2" t="s">
        <v>74</v>
      </c>
      <c r="G1" s="2" t="s">
        <v>97</v>
      </c>
    </row>
    <row r="2" customFormat="false" ht="15" hidden="false" customHeight="true" outlineLevel="0" collapsed="false">
      <c r="A2" s="3"/>
      <c r="B2" s="3" t="s">
        <v>98</v>
      </c>
      <c r="C2" s="3"/>
      <c r="D2" s="3"/>
      <c r="E2" s="3"/>
      <c r="F2" s="3"/>
      <c r="G2" s="3"/>
    </row>
    <row r="3" customFormat="false" ht="15" hidden="false" customHeight="true" outlineLevel="0" collapsed="false">
      <c r="A3" s="4" t="n">
        <v>1</v>
      </c>
      <c r="B3" s="4" t="s">
        <v>99</v>
      </c>
      <c r="C3" s="4" t="s">
        <v>100</v>
      </c>
      <c r="D3" s="5" t="n">
        <v>750000</v>
      </c>
      <c r="E3" s="5" t="n">
        <v>1500000</v>
      </c>
      <c r="F3" s="5" t="n">
        <v>2500000</v>
      </c>
      <c r="G3" s="4" t="s">
        <v>101</v>
      </c>
    </row>
    <row r="4" customFormat="false" ht="15" hidden="false" customHeight="true" outlineLevel="0" collapsed="false">
      <c r="A4" s="4" t="n">
        <v>2</v>
      </c>
      <c r="B4" s="4" t="s">
        <v>102</v>
      </c>
      <c r="C4" s="4" t="s">
        <v>100</v>
      </c>
      <c r="D4" s="5" t="n">
        <v>100000</v>
      </c>
      <c r="E4" s="5" t="n">
        <v>200000</v>
      </c>
      <c r="F4" s="5" t="n">
        <v>400000</v>
      </c>
      <c r="G4" s="4" t="s">
        <v>103</v>
      </c>
    </row>
    <row r="5" customFormat="false" ht="15" hidden="false" customHeight="true" outlineLevel="0" collapsed="false">
      <c r="A5" s="4" t="n">
        <v>3</v>
      </c>
      <c r="B5" s="4" t="s">
        <v>104</v>
      </c>
      <c r="C5" s="4" t="s">
        <v>100</v>
      </c>
      <c r="D5" s="5" t="n">
        <v>400000</v>
      </c>
      <c r="E5" s="5" t="n">
        <v>600000</v>
      </c>
      <c r="F5" s="5" t="n">
        <v>1000000</v>
      </c>
      <c r="G5" s="4" t="s">
        <v>105</v>
      </c>
    </row>
    <row r="6" customFormat="false" ht="15" hidden="false" customHeight="true" outlineLevel="0" collapsed="false">
      <c r="A6" s="3"/>
      <c r="B6" s="3" t="s">
        <v>106</v>
      </c>
      <c r="C6" s="3"/>
      <c r="D6" s="3"/>
      <c r="E6" s="3"/>
      <c r="F6" s="3"/>
      <c r="G6" s="3"/>
    </row>
    <row r="7" customFormat="false" ht="15" hidden="false" customHeight="true" outlineLevel="0" collapsed="false">
      <c r="A7" s="4" t="n">
        <v>4</v>
      </c>
      <c r="B7" s="4" t="s">
        <v>107</v>
      </c>
      <c r="C7" s="4" t="s">
        <v>108</v>
      </c>
      <c r="D7" s="5" t="n">
        <v>650000</v>
      </c>
      <c r="E7" s="5" t="n">
        <v>1200000</v>
      </c>
      <c r="F7" s="5" t="n">
        <v>2000000</v>
      </c>
      <c r="G7" s="4" t="s">
        <v>109</v>
      </c>
    </row>
    <row r="8" customFormat="false" ht="15" hidden="false" customHeight="true" outlineLevel="0" collapsed="false">
      <c r="A8" s="4" t="n">
        <v>5</v>
      </c>
      <c r="B8" s="4" t="s">
        <v>110</v>
      </c>
      <c r="C8" s="4" t="s">
        <v>108</v>
      </c>
      <c r="D8" s="5" t="n">
        <v>400000</v>
      </c>
      <c r="E8" s="5" t="n">
        <v>750000</v>
      </c>
      <c r="F8" s="5" t="n">
        <v>1200000</v>
      </c>
      <c r="G8" s="4" t="s">
        <v>111</v>
      </c>
    </row>
    <row r="9" customFormat="false" ht="15" hidden="false" customHeight="true" outlineLevel="0" collapsed="false">
      <c r="A9" s="3"/>
      <c r="B9" s="3" t="s">
        <v>112</v>
      </c>
      <c r="C9" s="3"/>
      <c r="D9" s="3"/>
      <c r="E9" s="3"/>
      <c r="F9" s="3"/>
      <c r="G9" s="3"/>
    </row>
    <row r="10" customFormat="false" ht="15" hidden="false" customHeight="true" outlineLevel="0" collapsed="false">
      <c r="A10" s="4" t="n">
        <v>6</v>
      </c>
      <c r="B10" s="4" t="s">
        <v>113</v>
      </c>
      <c r="C10" s="4" t="s">
        <v>108</v>
      </c>
      <c r="D10" s="5" t="n">
        <v>850000</v>
      </c>
      <c r="E10" s="5" t="n">
        <v>1750000</v>
      </c>
      <c r="F10" s="5" t="n">
        <v>3000000</v>
      </c>
      <c r="G10" s="4" t="s">
        <v>114</v>
      </c>
    </row>
    <row r="11" customFormat="false" ht="15" hidden="false" customHeight="true" outlineLevel="0" collapsed="false">
      <c r="A11" s="3"/>
      <c r="B11" s="3" t="s">
        <v>115</v>
      </c>
      <c r="C11" s="3"/>
      <c r="D11" s="3"/>
      <c r="E11" s="3"/>
      <c r="F11" s="3"/>
      <c r="G11" s="3"/>
    </row>
    <row r="12" customFormat="false" ht="15" hidden="false" customHeight="true" outlineLevel="0" collapsed="false">
      <c r="A12" s="4" t="n">
        <v>7</v>
      </c>
      <c r="B12" s="4" t="s">
        <v>116</v>
      </c>
      <c r="C12" s="4" t="s">
        <v>108</v>
      </c>
      <c r="D12" s="5" t="n">
        <v>1200000</v>
      </c>
      <c r="E12" s="5" t="n">
        <v>1800000</v>
      </c>
      <c r="F12" s="5" t="n">
        <v>2500000</v>
      </c>
      <c r="G12" s="4" t="s">
        <v>117</v>
      </c>
    </row>
    <row r="13" customFormat="false" ht="15" hidden="false" customHeight="true" outlineLevel="0" collapsed="false">
      <c r="A13" s="4" t="n">
        <v>8</v>
      </c>
      <c r="B13" s="4" t="s">
        <v>118</v>
      </c>
      <c r="C13" s="4" t="s">
        <v>108</v>
      </c>
      <c r="D13" s="5" t="n">
        <v>400000</v>
      </c>
      <c r="E13" s="5" t="n">
        <v>600000</v>
      </c>
      <c r="F13" s="5" t="n">
        <v>1000000</v>
      </c>
      <c r="G13" s="4" t="s">
        <v>119</v>
      </c>
    </row>
    <row r="14" customFormat="false" ht="15" hidden="false" customHeight="true" outlineLevel="0" collapsed="false">
      <c r="A14" s="4" t="n">
        <v>9</v>
      </c>
      <c r="B14" s="4" t="s">
        <v>120</v>
      </c>
      <c r="C14" s="4" t="s">
        <v>108</v>
      </c>
      <c r="D14" s="5" t="n">
        <v>600000</v>
      </c>
      <c r="E14" s="5" t="n">
        <v>900000</v>
      </c>
      <c r="F14" s="5" t="n">
        <v>1200000</v>
      </c>
      <c r="G14" s="4" t="s">
        <v>121</v>
      </c>
    </row>
    <row r="15" customFormat="false" ht="15" hidden="false" customHeight="true" outlineLevel="0" collapsed="false">
      <c r="A15" s="4" t="n">
        <v>10</v>
      </c>
      <c r="B15" s="4" t="s">
        <v>122</v>
      </c>
      <c r="C15" s="4" t="s">
        <v>108</v>
      </c>
      <c r="D15" s="5" t="n">
        <v>600000</v>
      </c>
      <c r="E15" s="5" t="n">
        <v>960000</v>
      </c>
      <c r="F15" s="5" t="n">
        <v>1440000</v>
      </c>
      <c r="G15" s="4" t="s">
        <v>123</v>
      </c>
    </row>
    <row r="16" customFormat="false" ht="15" hidden="false" customHeight="true" outlineLevel="0" collapsed="false">
      <c r="A16" s="4" t="n">
        <v>11</v>
      </c>
      <c r="B16" s="4" t="s">
        <v>124</v>
      </c>
      <c r="C16" s="4" t="s">
        <v>108</v>
      </c>
      <c r="D16" s="5" t="n">
        <v>450000</v>
      </c>
      <c r="E16" s="5" t="n">
        <v>600000</v>
      </c>
      <c r="F16" s="5" t="n">
        <v>900000</v>
      </c>
      <c r="G16" s="4" t="s">
        <v>125</v>
      </c>
    </row>
    <row r="17" customFormat="false" ht="15" hidden="false" customHeight="true" outlineLevel="0" collapsed="false">
      <c r="A17" s="4" t="n">
        <v>12</v>
      </c>
      <c r="B17" s="4" t="s">
        <v>126</v>
      </c>
      <c r="C17" s="4" t="s">
        <v>108</v>
      </c>
      <c r="D17" s="5" t="n">
        <v>350000</v>
      </c>
      <c r="E17" s="5" t="n">
        <v>500000</v>
      </c>
      <c r="F17" s="5" t="n">
        <v>750000</v>
      </c>
      <c r="G17" s="4" t="s">
        <v>127</v>
      </c>
    </row>
    <row r="18" customFormat="false" ht="15" hidden="false" customHeight="true" outlineLevel="0" collapsed="false">
      <c r="A18" s="4" t="n">
        <v>13</v>
      </c>
      <c r="B18" s="4" t="s">
        <v>128</v>
      </c>
      <c r="C18" s="4" t="s">
        <v>108</v>
      </c>
      <c r="D18" s="5" t="n">
        <v>400000</v>
      </c>
      <c r="E18" s="5" t="n">
        <v>600000</v>
      </c>
      <c r="F18" s="5" t="n">
        <v>900000</v>
      </c>
      <c r="G18" s="4" t="s">
        <v>129</v>
      </c>
    </row>
    <row r="19" customFormat="false" ht="15" hidden="false" customHeight="true" outlineLevel="0" collapsed="false">
      <c r="A19" s="4" t="n">
        <v>14</v>
      </c>
      <c r="B19" s="4" t="s">
        <v>130</v>
      </c>
      <c r="C19" s="4" t="s">
        <v>108</v>
      </c>
      <c r="D19" s="5" t="n">
        <v>350000</v>
      </c>
      <c r="E19" s="5" t="n">
        <v>500000</v>
      </c>
      <c r="F19" s="5" t="n">
        <v>750000</v>
      </c>
      <c r="G19" s="4" t="s">
        <v>131</v>
      </c>
    </row>
    <row r="20" customFormat="false" ht="15" hidden="false" customHeight="true" outlineLevel="0" collapsed="false">
      <c r="A20" s="3"/>
      <c r="B20" s="3" t="s">
        <v>132</v>
      </c>
      <c r="C20" s="3"/>
      <c r="D20" s="3"/>
      <c r="E20" s="3"/>
      <c r="F20" s="3"/>
      <c r="G20" s="3"/>
    </row>
    <row r="21" customFormat="false" ht="15" hidden="false" customHeight="true" outlineLevel="0" collapsed="false">
      <c r="A21" s="4" t="n">
        <v>15</v>
      </c>
      <c r="B21" s="4" t="s">
        <v>133</v>
      </c>
      <c r="C21" s="4" t="s">
        <v>108</v>
      </c>
      <c r="D21" s="5" t="n">
        <v>1000000</v>
      </c>
      <c r="E21" s="5" t="n">
        <v>1750000</v>
      </c>
      <c r="F21" s="5" t="n">
        <v>3000000</v>
      </c>
      <c r="G21" s="4" t="s">
        <v>134</v>
      </c>
    </row>
    <row r="22" customFormat="false" ht="15" hidden="false" customHeight="true" outlineLevel="0" collapsed="false">
      <c r="A22" s="4" t="n">
        <v>16</v>
      </c>
      <c r="B22" s="4" t="s">
        <v>135</v>
      </c>
      <c r="C22" s="4" t="s">
        <v>108</v>
      </c>
      <c r="D22" s="5" t="n">
        <v>500000</v>
      </c>
      <c r="E22" s="5" t="n">
        <v>800000</v>
      </c>
      <c r="F22" s="5" t="n">
        <v>1200000</v>
      </c>
      <c r="G22" s="4" t="s">
        <v>136</v>
      </c>
    </row>
    <row r="23" customFormat="false" ht="15" hidden="false" customHeight="true" outlineLevel="0" collapsed="false">
      <c r="A23" s="3"/>
      <c r="B23" s="3" t="s">
        <v>137</v>
      </c>
      <c r="C23" s="3"/>
      <c r="D23" s="3"/>
      <c r="E23" s="3"/>
      <c r="F23" s="3"/>
      <c r="G23" s="3"/>
    </row>
    <row r="24" customFormat="false" ht="15" hidden="false" customHeight="true" outlineLevel="0" collapsed="false">
      <c r="A24" s="4" t="n">
        <v>17</v>
      </c>
      <c r="B24" s="4" t="s">
        <v>138</v>
      </c>
      <c r="C24" s="4" t="s">
        <v>108</v>
      </c>
      <c r="D24" s="5" t="n">
        <v>500000</v>
      </c>
      <c r="E24" s="5" t="n">
        <v>800000</v>
      </c>
      <c r="F24" s="5" t="n">
        <v>1200000</v>
      </c>
      <c r="G24" s="4" t="s">
        <v>139</v>
      </c>
    </row>
    <row r="25" customFormat="false" ht="15" hidden="false" customHeight="true" outlineLevel="0" collapsed="false">
      <c r="A25" s="4" t="n">
        <v>18</v>
      </c>
      <c r="B25" s="4" t="s">
        <v>140</v>
      </c>
      <c r="C25" s="4" t="s">
        <v>108</v>
      </c>
      <c r="D25" s="5" t="n">
        <v>200000</v>
      </c>
      <c r="E25" s="5" t="n">
        <v>350000</v>
      </c>
      <c r="F25" s="5" t="n">
        <v>500000</v>
      </c>
      <c r="G25" s="4" t="s">
        <v>141</v>
      </c>
    </row>
    <row r="26" customFormat="false" ht="15" hidden="false" customHeight="true" outlineLevel="0" collapsed="false">
      <c r="A26" s="4" t="n">
        <v>19</v>
      </c>
      <c r="B26" s="4" t="s">
        <v>142</v>
      </c>
      <c r="C26" s="4" t="s">
        <v>108</v>
      </c>
      <c r="D26" s="5" t="n">
        <v>250000</v>
      </c>
      <c r="E26" s="5" t="n">
        <v>450000</v>
      </c>
      <c r="F26" s="5" t="n">
        <v>750000</v>
      </c>
      <c r="G26" s="4" t="s">
        <v>143</v>
      </c>
    </row>
    <row r="27" customFormat="false" ht="15" hidden="false" customHeight="true" outlineLevel="0" collapsed="false">
      <c r="A27" s="4" t="n">
        <v>20</v>
      </c>
      <c r="B27" s="4" t="s">
        <v>144</v>
      </c>
      <c r="C27" s="4" t="s">
        <v>108</v>
      </c>
      <c r="D27" s="5" t="n">
        <v>300000</v>
      </c>
      <c r="E27" s="5" t="n">
        <v>500000</v>
      </c>
      <c r="F27" s="5" t="n">
        <v>800000</v>
      </c>
      <c r="G27" s="4" t="s">
        <v>145</v>
      </c>
    </row>
    <row r="29" customFormat="false" ht="15" hidden="false" customHeight="true" outlineLevel="0" collapsed="false">
      <c r="B29" s="12" t="s">
        <v>146</v>
      </c>
      <c r="D29" s="14" t="n">
        <f aca="false">SUM(D2:D27)</f>
        <v>10250000</v>
      </c>
      <c r="E29" s="14" t="n">
        <f aca="false">SUM(E2:E27)</f>
        <v>17110000</v>
      </c>
      <c r="F29" s="14" t="n">
        <f aca="false">SUM(F2:F27)</f>
        <v>26990000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5"/>
    <col collapsed="false" customWidth="true" hidden="false" outlineLevel="0" max="4" min="2" style="1" width="18"/>
  </cols>
  <sheetData>
    <row r="1" customFormat="false" ht="17.25" hidden="false" customHeight="true" outlineLevel="0" collapsed="false">
      <c r="A1" s="15" t="s">
        <v>147</v>
      </c>
    </row>
    <row r="2" customFormat="false" ht="15" hidden="false" customHeight="true" outlineLevel="0" collapsed="false">
      <c r="A2" s="16" t="s">
        <v>148</v>
      </c>
    </row>
    <row r="4" customFormat="false" ht="15" hidden="false" customHeight="true" outlineLevel="0" collapsed="false">
      <c r="A4" s="2"/>
      <c r="B4" s="2" t="s">
        <v>72</v>
      </c>
      <c r="C4" s="2" t="s">
        <v>73</v>
      </c>
      <c r="D4" s="2" t="s">
        <v>74</v>
      </c>
    </row>
    <row r="5" customFormat="false" ht="15" hidden="false" customHeight="true" outlineLevel="0" collapsed="false">
      <c r="A5" s="3" t="s">
        <v>149</v>
      </c>
      <c r="B5" s="3"/>
      <c r="C5" s="3"/>
      <c r="D5" s="3"/>
    </row>
    <row r="6" customFormat="false" ht="15" hidden="false" customHeight="true" outlineLevel="0" collapsed="false">
      <c r="A6" s="4" t="s">
        <v>150</v>
      </c>
      <c r="B6" s="6" t="n">
        <f aca="false">'PBC Personnel'!H60</f>
        <v>4856812.5</v>
      </c>
      <c r="C6" s="6" t="n">
        <f aca="false">'PBC Personnel'!I60</f>
        <v>6670875</v>
      </c>
      <c r="D6" s="6" t="n">
        <f aca="false">'PBC Personnel'!J60</f>
        <v>7464250</v>
      </c>
    </row>
    <row r="7" customFormat="false" ht="15" hidden="false" customHeight="true" outlineLevel="0" collapsed="false">
      <c r="A7" s="4" t="s">
        <v>151</v>
      </c>
      <c r="B7" s="6" t="n">
        <f aca="false">'PBC Operations'!B11</f>
        <v>1760000</v>
      </c>
      <c r="C7" s="6" t="n">
        <f aca="false">'PBC Operations'!C11</f>
        <v>2860000</v>
      </c>
      <c r="D7" s="6" t="n">
        <f aca="false">'PBC Operations'!D11</f>
        <v>3960000</v>
      </c>
    </row>
    <row r="8" customFormat="false" ht="15" hidden="false" customHeight="true" outlineLevel="0" collapsed="false">
      <c r="A8" s="17" t="s">
        <v>152</v>
      </c>
      <c r="B8" s="14" t="n">
        <f aca="false">B6+B7</f>
        <v>6616812.5</v>
      </c>
      <c r="C8" s="14" t="n">
        <f aca="false">C6+C7</f>
        <v>9530875</v>
      </c>
      <c r="D8" s="14" t="n">
        <f aca="false">D6+D7</f>
        <v>11424250</v>
      </c>
    </row>
    <row r="10" customFormat="false" ht="15" hidden="false" customHeight="true" outlineLevel="0" collapsed="false">
      <c r="A10" s="3" t="s">
        <v>153</v>
      </c>
      <c r="B10" s="3"/>
      <c r="C10" s="3"/>
      <c r="D10" s="3"/>
    </row>
    <row r="11" customFormat="false" ht="15" hidden="false" customHeight="true" outlineLevel="0" collapsed="false">
      <c r="A11" s="4" t="s">
        <v>154</v>
      </c>
      <c r="B11" s="6" t="n">
        <f aca="false">'PBC Revenue'!D29</f>
        <v>10250000</v>
      </c>
      <c r="C11" s="6" t="n">
        <f aca="false">'PBC Revenue'!E29</f>
        <v>17110000</v>
      </c>
      <c r="D11" s="6" t="n">
        <f aca="false">'PBC Revenue'!F29</f>
        <v>26990000</v>
      </c>
    </row>
    <row r="12" customFormat="false" ht="15" hidden="false" customHeight="true" outlineLevel="0" collapsed="false">
      <c r="A12" s="4" t="s">
        <v>155</v>
      </c>
      <c r="B12" s="5" t="n">
        <v>0</v>
      </c>
      <c r="C12" s="5" t="n">
        <v>0</v>
      </c>
      <c r="D12" s="5" t="n">
        <v>0</v>
      </c>
    </row>
    <row r="13" customFormat="false" ht="15" hidden="false" customHeight="true" outlineLevel="0" collapsed="false">
      <c r="A13" s="17" t="s">
        <v>156</v>
      </c>
      <c r="B13" s="14" t="n">
        <f aca="false">B11+B12</f>
        <v>10250000</v>
      </c>
      <c r="C13" s="14" t="n">
        <f aca="false">C11+C12</f>
        <v>17110000</v>
      </c>
      <c r="D13" s="14" t="n">
        <f aca="false">D11+D12</f>
        <v>26990000</v>
      </c>
    </row>
    <row r="15" customFormat="false" ht="15" hidden="false" customHeight="true" outlineLevel="0" collapsed="false">
      <c r="A15" s="17" t="s">
        <v>157</v>
      </c>
      <c r="B15" s="14" t="n">
        <f aca="false">B13-B8</f>
        <v>3633187.5</v>
      </c>
      <c r="C15" s="14" t="n">
        <f aca="false">C13-C8</f>
        <v>7579125</v>
      </c>
      <c r="D15" s="14" t="n">
        <f aca="false">D13-D8</f>
        <v>15565750</v>
      </c>
    </row>
    <row r="17" customFormat="false" ht="15" hidden="false" customHeight="true" outlineLevel="0" collapsed="false">
      <c r="A17" s="17" t="s">
        <v>158</v>
      </c>
      <c r="B17" s="7" t="n">
        <v>37</v>
      </c>
      <c r="C17" s="7" t="n">
        <v>44</v>
      </c>
      <c r="D17" s="7" t="n">
        <v>44</v>
      </c>
    </row>
    <row r="18" customFormat="false" ht="15" hidden="false" customHeight="true" outlineLevel="0" collapsed="false">
      <c r="A18" s="17" t="s">
        <v>159</v>
      </c>
      <c r="B18" s="7" t="n">
        <v>20</v>
      </c>
      <c r="C18" s="7" t="n">
        <v>20</v>
      </c>
      <c r="D18" s="7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2026-05-19T02:17:17Z</dcterms:created>
  <dc:creator>openpyxl</dc:creator>
  <dc:description/>
  <dc:language>en-US</dc:language>
  <cp:lastModifiedBy/>
  <dcterms:modified xsi:type="dcterms:W3CDTF">2026-05-19T03:00:17Z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